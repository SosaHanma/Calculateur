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cene.aitboudaoud\Desktop\"/>
    </mc:Choice>
  </mc:AlternateContent>
  <xr:revisionPtr revIDLastSave="0" documentId="13_ncr:1_{95CC9064-5F42-43FB-B794-6A863E846228}" xr6:coauthVersionLast="47" xr6:coauthVersionMax="47" xr10:uidLastSave="{00000000-0000-0000-0000-000000000000}"/>
  <bookViews>
    <workbookView xWindow="-195" yWindow="1065" windowWidth="25710" windowHeight="20850" activeTab="2" xr2:uid="{00000000-000D-0000-FFFF-FFFF00000000}"/>
  </bookViews>
  <sheets>
    <sheet name="PdC Bas" sheetId="73" r:id="rId1"/>
    <sheet name="PdC Haut" sheetId="74" r:id="rId2"/>
    <sheet name="PdC reprise Bas" sheetId="79" r:id="rId3"/>
    <sheet name="PdC reprise Haut" sheetId="78" r:id="rId4"/>
    <sheet name="cta compensation" sheetId="71" r:id="rId5"/>
    <sheet name="cta01" sheetId="61" r:id="rId6"/>
  </sheets>
  <functionGroups builtInGroupCount="19"/>
  <externalReferences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Affaire" hidden="1">#REF!</definedName>
    <definedName name="armen__braisière_dessus_seul">'[1]Tarif Capic'!$I$128</definedName>
    <definedName name="armen__braisière_placard_fermé">'[1]Tarif Capic'!$I$130</definedName>
    <definedName name="armen__braisière_placard_ouvert">'[1]Tarif Capic'!$I$129</definedName>
    <definedName name="armen__wok_induction_dessus_seul">'[1]Tarif Capic'!$I$125</definedName>
    <definedName name="armen__wok_induction_placard_fermé">'[1]Tarif Capic'!$I$127</definedName>
    <definedName name="armen__wok_induction_placard_ouvert">'[1]Tarif Capic'!$I$126</definedName>
    <definedName name="armen_bain_marie_40_1_1_dessus_seul">'[1]Tarif Capic'!$I$183</definedName>
    <definedName name="armen_bain_marie_40_1_1_placard_fermé">'[1]Tarif Capic'!$I$185</definedName>
    <definedName name="armen_bain_marie_40_1_1_placard_ouvert">'[1]Tarif Capic'!$I$184</definedName>
    <definedName name="armen_bain_marie_80_1_1_dessus_seul">'[1]Tarif Capic'!$I$186</definedName>
    <definedName name="armen_bain_marie_80_1_1_placard_fermé">'[1]Tarif Capic'!$I$188</definedName>
    <definedName name="armen_bain_marie_80_1_1_placard_ouvert">'[1]Tarif Capic'!$I$187</definedName>
    <definedName name="armen_bain_marie_80_2_1_dessus_seul">'[1]Tarif Capic'!$I$189</definedName>
    <definedName name="armen_bain_marie_80_2_1_placard_fermé">'[1]Tarif Capic'!$I$191</definedName>
    <definedName name="armen_bain_marie_80_2_1_placard_ouvert">'[1]Tarif Capic'!$I$190</definedName>
    <definedName name="Armen_brûleur_séquentiel">'[1]Tarif Capic'!$I$106</definedName>
    <definedName name="armen_cuiseur_à_pâtes">'[1]Tarif Capic'!$I$151</definedName>
    <definedName name="armen_cuiseur_à_pâtes_ra">'[1]Tarif Capic'!$I$152</definedName>
    <definedName name="armen_friteuse_25">'[1]Tarif Capic'!$I$157</definedName>
    <definedName name="armen_friteuse_50">'[1]Tarif Capic'!$I$158</definedName>
    <definedName name="armen_friteuse_50_ra">'[1]Tarif Capic'!$I$159</definedName>
    <definedName name="armen_gaz_allumage_électrique">'[1]Tarif Capic'!$I$109</definedName>
    <definedName name="armen_gaz_braisière_dessus_seul">'[1]Tarif Capic'!$I$69</definedName>
    <definedName name="armen_gaz_braisière_placard_fermé">'[1]Tarif Capic'!$I$71</definedName>
    <definedName name="armen_gaz_braisière_placard_ouvert">'[1]Tarif Capic'!$I$70</definedName>
    <definedName name="armen_gaz_friiteuse_50_ra">'[1]Tarif Capic'!$I$74</definedName>
    <definedName name="armen_gaz_friteuse_35">'[1]Tarif Capic'!$I$72</definedName>
    <definedName name="armen_gaz_friteuse_50">'[1]Tarif Capic'!$I$73</definedName>
    <definedName name="armen_gaz_grill_fonte_nervuré_40_dessus_seul">'[1]Tarif Capic'!$I$61</definedName>
    <definedName name="armen_gaz_grill_fonte_nervuré_40_placard_fermé">'[1]Tarif Capic'!$I$63</definedName>
    <definedName name="armen_gaz_grill_fonte_nervuré_40_placard_ouvert">'[1]Tarif Capic'!$I$62</definedName>
    <definedName name="armen_gaz_grill_fonte_nervuré_50_dessus_seul">'[1]Tarif Capic'!$I$65</definedName>
    <definedName name="armen_gaz_grill_fonte_nervuré_50_placard_fermé">'[1]Tarif Capic'!$I$67</definedName>
    <definedName name="armen_gaz_grill_fonte_nervuré_50_placard_ouvert">'[1]Tarif Capic'!$I$66</definedName>
    <definedName name="armen_gaz_grill_inox_1_2_rainuré_dessus_seul">'[1]Tarif Capic'!$I$49</definedName>
    <definedName name="armen_gaz_grill_inox_1_2_rainuré_placard_fermé">'[1]Tarif Capic'!$I$51</definedName>
    <definedName name="armen_gaz_grill_inox_1_2_rainuré_placard_ouvert">'[1]Tarif Capic'!$I$50</definedName>
    <definedName name="armen_gaz_grill_inox_lisse_dessus_seul">'[1]Tarif Capic'!$I$45</definedName>
    <definedName name="armen_gaz_grill_inox_lisse_placard_fermé">'[1]Tarif Capic'!$I$47</definedName>
    <definedName name="armen_gaz_grill_inox_lisse_placard_ouvert">'[1]Tarif Capic'!$I$46</definedName>
    <definedName name="armen_gaz_grill_inox_rainuré_dessus_seul">'[1]Tarif Capic'!$I$53</definedName>
    <definedName name="armen_gaz_grill_inox_rainuré_placard_fermé">'[1]Tarif Capic'!$I$55</definedName>
    <definedName name="armen_gaz_grill_inox_rainuré_placard_ouvert">'[1]Tarif Capic'!$I$54</definedName>
    <definedName name="armen_gaz_marmite_bm_100">'[1]Tarif Capic'!$I$78</definedName>
    <definedName name="armen_gaz_marmite_bm_150">'[1]Tarif Capic'!$I$79</definedName>
    <definedName name="armen_gaz_marmite_bm_235">'[1]Tarif Capic'!$I$80</definedName>
    <definedName name="armen_gaz_marmite_cd_100">'[1]Tarif Capic'!$I$75</definedName>
    <definedName name="armen_gaz_marmite_cd_150">'[1]Tarif Capic'!$I$76</definedName>
    <definedName name="armen_gaz_plancha_dessus_seul">'[1]Tarif Capic'!$I$41</definedName>
    <definedName name="armen_gaz_plancha_placard_fermé">'[1]Tarif Capic'!$I$43</definedName>
    <definedName name="armen_gaz_plancha_placard_ouvert">'[1]Tarif Capic'!$I$42</definedName>
    <definedName name="armen_gaz_sauteuse_35_be">'[1]Tarif Capic'!$I$82</definedName>
    <definedName name="armen_gaz_sauteuse_35_bm">'[1]Tarif Capic'!$I$81</definedName>
    <definedName name="armen_gaz_sauteuse_50_be">'[1]Tarif Capic'!$I$84</definedName>
    <definedName name="armen_gaz_sauteuse_50_bm">'[1]Tarif Capic'!$I$83</definedName>
    <definedName name="armen_gaz_sauteuse_60_be">'[1]Tarif Capic'!$I$85</definedName>
    <definedName name="armen_gaz_sauteuse_80_be">'[1]Tarif Capic'!$I$86</definedName>
    <definedName name="armen_gaz_sauteuse_multifonction_50">'[1]Tarif Capic'!$I$87</definedName>
    <definedName name="armen_gaz_sauteuse_multifonction_60">'[1]Tarif Capic'!$I$88</definedName>
    <definedName name="armen_gaz_sauteuse_multifonction_80">'[1]Tarif Capic'!$I$89</definedName>
    <definedName name="armen_gaz_sauteuse_multifonction_cadre_amovible_50">'[1]Tarif Capic'!$I$90</definedName>
    <definedName name="armen_gaz_sauteuse_multifonction_cadre_amovible_60">'[1]Tarif Capic'!$I$91</definedName>
    <definedName name="armen_gaz_sauteuse_multifonction_cadre_amovible_80">'[1]Tarif Capic'!$I$92</definedName>
    <definedName name="armen_gaz_table_de_cuisson_1_plaque_100_dessus_seul">'[1]Tarif Capic'!$I$37</definedName>
    <definedName name="armen_gaz_table_de_cuisson_1_plaque_100_placard_fermé">'[1]Tarif Capic'!$I$39</definedName>
    <definedName name="armen_gaz_table_de_cuisson_1_plaque_100_placard_ouvert">'[1]Tarif Capic'!$I$38</definedName>
    <definedName name="armen_gaz_table_de_cuisson_1_plaque_50_dessus_seul">'[1]Tarif Capic'!$I$29</definedName>
    <definedName name="armen_gaz_table_de_cuisson_1_plaque_50_placard_fermé">'[1]Tarif Capic'!$I$31</definedName>
    <definedName name="armen_gaz_table_de_cuisson_1_plaque_50_placard_ouvert">'[1]Tarif Capic'!$I$30</definedName>
    <definedName name="armen_gaz_table_de_cuisson_1_plaque_80_dessus_seul">'[1]Tarif Capic'!$I$33</definedName>
    <definedName name="armen_gaz_table_de_cuisson_1_plaque_80_placard_fermé">'[1]Tarif Capic'!$I$35</definedName>
    <definedName name="armen_gaz_table_de_cuisson_1_plaque_80_placard_ouvert">'[1]Tarif Capic'!$I$34</definedName>
    <definedName name="armen_gaz_table_de_cuisson_2_feux_vifs___1_plaque_brûleurs_volcal_dessus_seul">'[1]Tarif Capic'!$I$25</definedName>
    <definedName name="armen_gaz_table_de_cuisson_2_feux_vifs___1_plaque_brûleurs_volcal_placard_fermé">'[1]Tarif Capic'!$I$27</definedName>
    <definedName name="armen_gaz_table_de_cuisson_2_feux_vifs___1_plaque_brûleurs_volcal_placard_ouvert">'[1]Tarif Capic'!$I$26</definedName>
    <definedName name="armen_gaz_table_de_cuisson_2_feux_vifs___1_plaque_dessus_seul">'[1]Tarif Capic'!$I$21</definedName>
    <definedName name="armen_gaz_table_de_cuisson_2_feux_vifs___1_plaque_placard_fermé">'[1]Tarif Capic'!$I$23</definedName>
    <definedName name="armen_gaz_table_de_cuisson_2_feux_vifs___1_plaque_placard_ouvert">'[1]Tarif Capic'!$I$22</definedName>
    <definedName name="armen_gaz_table_de_cuisson_2_feux_vifs_brûleurs_volcal_dessus_seul">'[1]Tarif Capic'!$I$9</definedName>
    <definedName name="armen_gaz_table_de_cuisson_2_feux_vifs_brûleurs_volcal_placard_fermé">'[1]Tarif Capic'!$I$11</definedName>
    <definedName name="armen_gaz_table_de_cuisson_2_feux_vifs_brûleurs_volcal_placard_ouvert">'[1]Tarif Capic'!$I$10</definedName>
    <definedName name="armen_gaz_table_de_cuisson_2_feux_vifs_dessus_seul">'[1]Tarif Capic'!$I$5</definedName>
    <definedName name="armen_gaz_table_de_cuisson_2_feux_vifs_placard_fermé">'[1]Tarif Capic'!$I$7</definedName>
    <definedName name="armen_gaz_table_de_cuisson_2_feux_vifs_placard_ouvert">'[1]Tarif Capic'!$I$6</definedName>
    <definedName name="armen_gaz_table_de_cuisson_4_feux_vifs_brûleurs_volcal_dessus_seul">'[1]Tarif Capic'!$I$17</definedName>
    <definedName name="armen_gaz_table_de_cuisson_4_feux_vifs_brûleurs_volcal_placard_fermé">'[1]Tarif Capic'!$I$19</definedName>
    <definedName name="armen_gaz_table_de_cuisson_4_feux_vifs_brûleurs_volcal_placard_ouvert">'[1]Tarif Capic'!$I$18</definedName>
    <definedName name="armen_gaz_table_de_cuisson_4_feux_vifs_dessus_seul">'[1]Tarif Capic'!$I$13</definedName>
    <definedName name="armen_gaz_table_de_cuisson_4_feux_vifs_placard_fermé">'[1]Tarif Capic'!$I$15</definedName>
    <definedName name="armen_gaz_table_de_cuisson_4_feux_vifs_placard_ouvert">'[1]Tarif Capic'!$I$14</definedName>
    <definedName name="armen_grill_fonte_nervuré_40_dessus_seul">'[1]Tarif Capic'!$I$147</definedName>
    <definedName name="armen_grill_fonte_nervuré_40_placard_fermé">'[1]Tarif Capic'!$I$149</definedName>
    <definedName name="armen_grill_fonte_nervuré_40_placard_ouvert">'[1]Tarif Capic'!$I$148</definedName>
    <definedName name="armen_grill_fonte_nervuré_40_sur_étuve">'[1]Tarif Capic'!$I$150</definedName>
    <definedName name="Armen_grill_inox_1_2_rainuré">'[1]Tarif Capic'!$I$107</definedName>
    <definedName name="armen_grill_inox_1_2_rainuré_dessus_seul">'[1]Tarif Capic'!$I$139</definedName>
    <definedName name="armen_grill_inox_1_2_rainuré_placard_fermé">'[1]Tarif Capic'!$I$141</definedName>
    <definedName name="armen_grill_inox_1_2_rainuré_placard_ouvert">'[1]Tarif Capic'!$I$140</definedName>
    <definedName name="armen_grill_inox_1_2_rainuré_sur_étuve">'[1]Tarif Capic'!$I$142</definedName>
    <definedName name="armen_grill_inox_lisse_dessus_seul">'[1]Tarif Capic'!$I$135</definedName>
    <definedName name="armen_grill_inox_lisse_placard_fermé">'[1]Tarif Capic'!$I$137</definedName>
    <definedName name="armen_grill_inox_lisse_placard_ouvert">'[1]Tarif Capic'!$I$136</definedName>
    <definedName name="armen_grill_inox_lisse_sur_étuve">'[1]Tarif Capic'!$I$138</definedName>
    <definedName name="Armen_grill_inox_rainuré">'[1]Tarif Capic'!$I$108</definedName>
    <definedName name="armen_grill_inox_rainuré_dessus_seul">'[1]Tarif Capic'!$I$143</definedName>
    <definedName name="armen_grill_inox_rainuré_placard_fermé">'[1]Tarif Capic'!$I$145</definedName>
    <definedName name="armen_grill_inox_rainuré_placard_ouvert">'[1]Tarif Capic'!$I$144</definedName>
    <definedName name="armen_grill_inox_rainuré_sur_étuve">'[1]Tarif Capic'!$I$146</definedName>
    <definedName name="armen_marmite_bm_100">'[1]Tarif Capic'!$I$162</definedName>
    <definedName name="armen_marmite_bm_150">'[1]Tarif Capic'!$I$163</definedName>
    <definedName name="armen_marmite_bm_235">'[1]Tarif Capic'!$I$164</definedName>
    <definedName name="armen_marmite_cd_100">'[1]Tarif Capic'!$I$160</definedName>
    <definedName name="armen_marmite_cd_150">'[1]Tarif Capic'!$I$161</definedName>
    <definedName name="armen_marmite_régulation_niveau">'[1]Tarif Capic'!$I$110</definedName>
    <definedName name="armen_meuble_de_salage_dessus_seul">'[1]Tarif Capic'!$I$153</definedName>
    <definedName name="armen_meuble_de_salage_placard_fermé">'[1]Tarif Capic'!$I$155</definedName>
    <definedName name="armen_meuble_de_salage_placard_ouvert">'[1]Tarif Capic'!$I$154</definedName>
    <definedName name="armen_meuble_de_salage_rampe_chauffante">'[1]Tarif Capic'!$I$156</definedName>
    <definedName name="armen_plan_neutre_100_dessous_fermé">'[1]Tarif Capic'!$I$193</definedName>
    <definedName name="armen_plan_neutre_100_dessus_seul">'[1]Tarif Capic'!$I$192</definedName>
    <definedName name="armen_plan_neutre_1000_dessus_seul">'[1]Tarif Capic'!$I$210</definedName>
    <definedName name="armen_plan_neutre_1000_placard_fermé">'[1]Tarif Capic'!$I$212</definedName>
    <definedName name="armen_plan_neutre_1000_placard_ouvert">'[1]Tarif Capic'!$I$211</definedName>
    <definedName name="armen_plan_neutre_1000_sur_étuve">'[1]Tarif Capic'!$I$213</definedName>
    <definedName name="armen_plan_neutre_1200_dessus_seul">'[1]Tarif Capic'!$I$214</definedName>
    <definedName name="armen_plan_neutre_1200_placard_fermé">'[1]Tarif Capic'!$I$216</definedName>
    <definedName name="armen_plan_neutre_1200_placard_ouvert">'[1]Tarif Capic'!$I$215</definedName>
    <definedName name="armen_plan_neutre_1200_sur_étuve">'[1]Tarif Capic'!$I$217</definedName>
    <definedName name="armen_plan_neutre_200_dessous_fermé">'[1]Tarif Capic'!$I$195</definedName>
    <definedName name="armen_plan_neutre_200_dessus_seul">'[1]Tarif Capic'!$I$194</definedName>
    <definedName name="armen_plan_neutre_300_dessus_seul">'[1]Tarif Capic'!$I$196</definedName>
    <definedName name="armen_plan_neutre_300_placard_fermé">'[1]Tarif Capic'!$I$197</definedName>
    <definedName name="armen_plan_neutre_400_dessus_seul">'[1]Tarif Capic'!$I$198</definedName>
    <definedName name="armen_plan_neutre_400_placard_fermé">'[1]Tarif Capic'!$I$200</definedName>
    <definedName name="armen_plan_neutre_400_placard_ouvert">'[1]Tarif Capic'!$I$199</definedName>
    <definedName name="armen_plan_neutre_400_sur_étuve">'[1]Tarif Capic'!$I$201</definedName>
    <definedName name="armen_plan_neutre_500_dessus_seul">'[1]Tarif Capic'!$I$202</definedName>
    <definedName name="armen_plan_neutre_500_placard_fermé">'[1]Tarif Capic'!$I$204</definedName>
    <definedName name="armen_plan_neutre_500_placard_ouvert">'[1]Tarif Capic'!$I$203</definedName>
    <definedName name="armen_plan_neutre_500_sur_étuve">'[1]Tarif Capic'!$I$205</definedName>
    <definedName name="armen_plan_neutre_800_dessus_seul">'[1]Tarif Capic'!$I$206</definedName>
    <definedName name="armen_plan_neutre_800_placard_fermé">'[1]Tarif Capic'!$I$208</definedName>
    <definedName name="armen_plan_neutre_800_placard_ouvert">'[1]Tarif Capic'!$I$207</definedName>
    <definedName name="armen_plan_neutre_800_sur_étuve">'[1]Tarif Capic'!$I$209</definedName>
    <definedName name="armen_plan_neutre_évier_dessus_seul">'[1]Tarif Capic'!$I$218</definedName>
    <definedName name="armen_plan_neutre_évier_placard_fermé">'[1]Tarif Capic'!$I$220</definedName>
    <definedName name="armen_plan_neutre_évier_placard_ouvert">'[1]Tarif Capic'!$I$219</definedName>
    <definedName name="armen_plancha_dessus_seul">'[1]Tarif Capic'!$I$131</definedName>
    <definedName name="armen_plancha_placard_fermé">'[1]Tarif Capic'!$I$133</definedName>
    <definedName name="armen_plancha_placard_ouvert">'[1]Tarif Capic'!$I$132</definedName>
    <definedName name="armen_plancha_sur_étuve">'[1]Tarif Capic'!$I$134</definedName>
    <definedName name="Armen_prise_de_courant_étanche_encastrée_en_façade">'[1]Tarif Capic'!$I$226</definedName>
    <definedName name="armen_sauteuse_35_be">'[1]Tarif Capic'!$I$166</definedName>
    <definedName name="armen_sauteuse_35_bm">'[1]Tarif Capic'!$I$165</definedName>
    <definedName name="armen_sauteuse_50_be">'[1]Tarif Capic'!$I$168</definedName>
    <definedName name="armen_sauteuse_50_bm">'[1]Tarif Capic'!$I$167</definedName>
    <definedName name="armen_sauteuse_60_be">'[1]Tarif Capic'!$I$169</definedName>
    <definedName name="armen_sauteuse_80_be">'[1]Tarif Capic'!$I$170</definedName>
    <definedName name="armen_sauteuse_coupur_gaz">'[1]Tarif Capic'!$I$111</definedName>
    <definedName name="armen_sauteuse_gaz_régulation_séquentielle">'[1]Tarif Capic'!$I$113</definedName>
    <definedName name="armen_sauteuse_multifonction_50">'[1]Tarif Capic'!$I$171</definedName>
    <definedName name="armen_sauteuse_multifonction_60">'[1]Tarif Capic'!$I$172</definedName>
    <definedName name="armen_sauteuse_multifonction_80">'[1]Tarif Capic'!$I$173</definedName>
    <definedName name="armen_sauteuse_surchauffe_gaz">'[1]Tarif Capic'!$I$112</definedName>
    <definedName name="armen_support_réfrigéré_groupe_logé_2_portillons">'[1]Tarif Capic'!$I$221</definedName>
    <definedName name="armen_support_réfrigéré_groupe_logé_3_portillons">'[1]Tarif Capic'!$I$222</definedName>
    <definedName name="armen_support_réfrigéré_groupe_logé_4_tiroirs">'[1]Tarif Capic'!$I$223</definedName>
    <definedName name="armen_support_réfrigéré_groupe_logé_6_tiroirs">'[1]Tarif Capic'!$I$224</definedName>
    <definedName name="armen_suspendu_compteur_d_eau_volumétrique">'[1]Tarif Capic'!$I$100</definedName>
    <definedName name="armen_suspendu_douchette">'[1]Tarif Capic'!$I$99</definedName>
    <definedName name="armen_table_de_cuisson_2_foyers_induction_dessus_seul">'[1]Tarif Capic'!$I$122</definedName>
    <definedName name="armen_table_de_cuisson_2_foyers_induction_placard_fermé">'[1]Tarif Capic'!$I$124</definedName>
    <definedName name="armen_table_de_cuisson_2_foyers_induction_placard_ouvert">'[1]Tarif Capic'!$I$123</definedName>
    <definedName name="armen_table_de_cuisson_2_foyers_rayonnants_dessus_seul">'[1]Tarif Capic'!$I$118</definedName>
    <definedName name="armen_table_de_cuisson_2_foyers_rayonnants_placard_fermé">'[1]Tarif Capic'!$I$120</definedName>
    <definedName name="armen_table_de_cuisson_2_foyers_rayonnants_placard_ouvert">'[1]Tarif Capic'!$I$119</definedName>
    <definedName name="armen_table_de_cuisson_2_foyers_rayonnants_sur_étuve">'[1]Tarif Capic'!$I$121</definedName>
    <definedName name="Armen_top_flamme">'[1]Tarif Capic'!$I$105</definedName>
    <definedName name="Armoire_décontamination_20_couteaux_avec_serrure">'[1]Tarif Bourgeat'!$I$211</definedName>
    <definedName name="Armoire_décontamination_40_couteaux_avec_serrure">'[1]Tarif Bourgeat'!$I$213</definedName>
    <definedName name="Armoire_décontamination_ba_10_couteaux_avec_serrure">'[1]Tarif Bourgeat'!$I$210</definedName>
    <definedName name="Armoire_décontamination_ba_20_couteaux_avec_serrure">'[1]Tarif Bourgeat'!$I$212</definedName>
    <definedName name="Armoire_froide_1_chariot_GN1_1_avec_groupe">'[1]Tarif friginox'!$I$186</definedName>
    <definedName name="Armoire_froide_1_chariot_GN2_1_avec_groupe">'[1]Tarif friginox'!$I$202</definedName>
    <definedName name="Armoire_froide_2_chariots_GN1_1_avec_groupe">'[1]Tarif friginox'!$I$187</definedName>
    <definedName name="Armoire_froide_2_chariots_GN2_1_avec_groupe">'[1]Tarif friginox'!$I$203</definedName>
    <definedName name="Armoire_froide_euronorme_temp_neg_blanc_1000_litres_av_gr">'[1]Tarif friginox'!$I$100</definedName>
    <definedName name="Armoire_froide_euronorme_temp_neg_blanc_1000_litres_ss_gr">'[1]Tarif friginox'!$I$110</definedName>
    <definedName name="Armoire_froide_euronorme_temp_neg_blanc_1500_litres_av_gr">'[1]Tarif friginox'!$I$101</definedName>
    <definedName name="Armoire_froide_euronorme_temp_neg_blanc_1500_litres_ss_gr">'[1]Tarif friginox'!$I$111</definedName>
    <definedName name="Armoire_froide_euronorme_temp_neg_blanc_500_litres_av_gr">'[1]Tarif friginox'!$I$99</definedName>
    <definedName name="Armoire_froide_euronorme_temp_neg_blanc_500_litres_ss_gr">'[1]Tarif friginox'!$I$109</definedName>
    <definedName name="Armoire_froide_euronorme_temp_neg_inox_1000_litres_av_gr">'[1]Tarif friginox'!$I$104</definedName>
    <definedName name="Armoire_froide_euronorme_temp_neg_inox_1000_litres_ss_gr">'[1]Tarif friginox'!$I$114</definedName>
    <definedName name="Armoire_froide_euronorme_temp_neg_inox_1500_litres_av_gr">'[1]Tarif friginox'!$I$105</definedName>
    <definedName name="Armoire_froide_euronorme_temp_neg_inox_1500_litres_ss_gr">'[1]Tarif friginox'!$I$115</definedName>
    <definedName name="Armoire_froide_euronorme_temp_neg_inox_500_litres_av_gr">'[1]Tarif friginox'!$I$103</definedName>
    <definedName name="Armoire_froide_euronorme_temp_neg_inox_500_litres_ss_gr">'[1]Tarif friginox'!$I$113</definedName>
    <definedName name="Armoire_froide_euronorme_temp_pos_blanc_1000_litres_av_gr">'[1]Tarif friginox'!$I$60</definedName>
    <definedName name="Armoire_froide_euronorme_temp_pos_blanc_1000_litres_ss_gr">'[1]Tarif friginox'!$I$70</definedName>
    <definedName name="Armoire_froide_euronorme_temp_pos_blanc_1500_litres_av_gr">'[1]Tarif friginox'!$I$61</definedName>
    <definedName name="Armoire_froide_euronorme_temp_pos_blanc_1500_litres_ss_gr">'[1]Tarif friginox'!$I$71</definedName>
    <definedName name="Armoire_froide_euronorme_temp_pos_blanc_500_litres_av_gr">'[1]Tarif friginox'!$I$59</definedName>
    <definedName name="Armoire_froide_euronorme_temp_pos_blanc_500_litres_ss_gr">'[1]Tarif friginox'!$I$69</definedName>
    <definedName name="Armoire_froide_euronorme_temp_pos_inox_1000_litres_av_gr">'[1]Tarif friginox'!$I$64</definedName>
    <definedName name="Armoire_froide_euronorme_temp_pos_inox_1000_litres_ss_gr">'[1]Tarif friginox'!$I$74</definedName>
    <definedName name="Armoire_froide_euronorme_temp_pos_inox_1500_litres_av_gr">'[1]Tarif friginox'!$I$65</definedName>
    <definedName name="Armoire_froide_euronorme_temp_pos_inox_1500_litres_ss_gr">'[1]Tarif friginox'!$I$75</definedName>
    <definedName name="Armoire_froide_euronorme_temp_pos_inox_500_litres_av_gr">'[1]Tarif friginox'!$I$63</definedName>
    <definedName name="Armoire_froide_euronorme_temp_pos_inox_500_litres_ss_gr">'[1]Tarif friginox'!$I$73</definedName>
    <definedName name="Armoire_froide_monocoque_temp_neg_blanc_1300_litres_av_gr">'[1]Tarif friginox'!$I$15</definedName>
    <definedName name="Armoire_froide_monocoque_temp_neg_blanc_1300_litres_ss_gr">'[1]Tarif friginox'!$I$50</definedName>
    <definedName name="Armoire_froide_monocoque_temp_neg_blanc_650_litres_av_gr">'[1]Tarif friginox'!$I$14</definedName>
    <definedName name="Armoire_froide_monocoque_temp_neg_blanc_650_litres_ss_gr">'[1]Tarif friginox'!$I$49</definedName>
    <definedName name="Armoire_froide_monocoque_temp_neg_inox_1300_litres_av_gr">'[1]Tarif friginox'!$I$18</definedName>
    <definedName name="Armoire_froide_monocoque_temp_neg_inox_1300_litres_ss_gr">'[1]Tarif friginox'!$I$53</definedName>
    <definedName name="Armoire_froide_monocoque_temp_neg_inox_650_litres_av_gr">'[1]Tarif friginox'!$I$17</definedName>
    <definedName name="Armoire_froide_monocoque_temp_neg_inox_650_litres_ss_gr">'[1]Tarif friginox'!$I$52</definedName>
    <definedName name="Armoire_froide_monocoque_temp_pos_blanc_1300_litres_av_gr">'[1]Tarif friginox'!$I$7</definedName>
    <definedName name="Armoire_froide_monocoque_temp_pos_blanc_1300_litres_ss_gr">'[1]Tarif friginox'!$I$42</definedName>
    <definedName name="Armoire_froide_monocoque_temp_pos_blanc_650_litres_av_gr">'[1]Tarif friginox'!$I$6</definedName>
    <definedName name="Armoire_froide_monocoque_temp_pos_blanc_650_litres_ss_gr">'[1]Tarif friginox'!$I$41</definedName>
    <definedName name="Armoire_froide_monocoque_temp_pos_inox_1300_litres_av_gr">'[1]Tarif friginox'!$I$10</definedName>
    <definedName name="Armoire_froide_monocoque_temp_pos_inox_1300_litres_ss_gr">'[1]Tarif friginox'!$I$45</definedName>
    <definedName name="Armoire_froide_monocoque_temp_pos_inox_650_litres_av_gr">'[1]Tarif friginox'!$I$9</definedName>
    <definedName name="Armoire_froide_monocoque_temp_pos_inox_650_litres_ss_gr">'[1]Tarif friginox'!$I$44</definedName>
    <definedName name="Armoire_froide_positive_gn2_1_1300_litres_av_gr">'[1]Tarif friginox'!$I$139</definedName>
    <definedName name="Armoire_froide_positive_gn2_1_1300_litres_ss_gr">'[1]Tarif friginox'!$I$143</definedName>
    <definedName name="Armoire_froide_positive_gn2_1_2000_litres_av_gr">'[1]Tarif friginox'!$I$140</definedName>
    <definedName name="Armoire_froide_positive_gn2_1_2000_litres_ss_gr">'[1]Tarif friginox'!$I$144</definedName>
    <definedName name="Armoire_froide_positive_gn2_1_650_litres_av_gr">'[1]Tarif friginox'!$I$138</definedName>
    <definedName name="Armoire_froide_positive_gn2_1_650_litres_ss_gr">'[1]Tarif friginox'!$I$142</definedName>
    <definedName name="Armoire_froide_transfert_1_chariot_GN1_1_avec_groupe">'[1]Tarif friginox'!$I$194</definedName>
    <definedName name="Armoire_froide_transfert_1_chariot_GN2_1_avec_groupe">'[1]Tarif friginox'!$I$210</definedName>
    <definedName name="Armoire_froide_transfert_2_chariots_GN1_1_avec_groupe">'[1]Tarif friginox'!$I$195</definedName>
    <definedName name="Armoire_froide_transfert_2_chariots_GN2_1_avec_groupe">'[1]Tarif friginox'!$I$211</definedName>
    <definedName name="Armoire_froide_transfert_positive_gn2_1_1300_litres_av_gr">'[1]Tarif friginox'!$I$149</definedName>
    <definedName name="Armoire_froide_transfert_positive_gn2_1_1300_litres_ss_gr">'[1]Tarif friginox'!$I$153</definedName>
    <definedName name="Armoire_froide_transfert_positive_gn2_1_2000_litres_av_gr">'[1]Tarif friginox'!$I$150</definedName>
    <definedName name="Armoire_froide_transfert_positive_gn2_1_2000_litres_ss_gr">'[1]Tarif friginox'!$I$154</definedName>
    <definedName name="Armoire_froide_transfert_positive_gn2_1_650_litres_av_gr">'[1]Tarif friginox'!$I$148</definedName>
    <definedName name="Armoire_froide_transfert_positive_gn2_1_650_litres_ss_gr">'[1]Tarif friginox'!$I$152</definedName>
    <definedName name="Armoire_inox_1_porte_rangement_produits_d_entretien">'[1]Tarif Tournus'!$I$596</definedName>
    <definedName name="Armoire_inox_1_porte_rangement_produits_d_entretiens_et_raclettes">'[1]Tarif Tournus'!$I$598</definedName>
    <definedName name="Armoire_inox_2_portes_rangement_produits_d_entretien">'[1]Tarif Tournus'!$I$597</definedName>
    <definedName name="Armoire_inox_2_portes_rangement_produits_d_entretien_et_raclettes">'[1]Tarif Tournus'!$I$599</definedName>
    <definedName name="Armoire_inox_portes_battantes_long_100">'[1]Tarif Tournus'!$I$589</definedName>
    <definedName name="Armoire_inox_portes_battantes_long_120">'[1]Tarif Tournus'!$I$590</definedName>
    <definedName name="Armoire_inox_portes_battantes_long_140">'[1]Tarif Tournus'!$I$591</definedName>
    <definedName name="Armoire_inox_portes_battantes_long_160">'[1]Tarif Tournus'!$I$592</definedName>
    <definedName name="Armoire_inox_portes_coulissantes_long_100">'[1]Tarif Tournus'!$I$582</definedName>
    <definedName name="Armoire_inox_portes_coulissantes_long_120">'[1]Tarif Tournus'!$I$583</definedName>
    <definedName name="Armoire_inox_portes_coulissantes_long_140">'[1]Tarif Tournus'!$I$584</definedName>
    <definedName name="Armoire_inox_portes_coulissantes_long_160">'[1]Tarif Tournus'!$I$585</definedName>
    <definedName name="Armoire_inox_suspendue_1_porte">'[1]Tarif Tournus'!$I$575</definedName>
    <definedName name="Armoire_inox_suspendue_2_portes">'[1]Tarif Tournus'!$I$576</definedName>
    <definedName name="Armoire_inox_suspendue_portes_coulissantes_5_bacs_long_120">'[1]Tarif Tournus'!$I$570</definedName>
    <definedName name="Armoire_inox_suspendue_portes_coulissantes_7_bacs_long_160">'[1]Tarif Tournus'!$I$571</definedName>
    <definedName name="Armoire_inox_suspendue_portes_coulissantes_9_bacs_long_200">'[1]Tarif Tournus'!$I$572</definedName>
    <definedName name="Armoire_inox_suspendue_portes_coulissantes_long_100">'[1]Tarif Tournus'!$I$562</definedName>
    <definedName name="Armoire_inox_suspendue_portes_coulissantes_long_120">'[1]Tarif Tournus'!$I$563</definedName>
    <definedName name="Armoire_inox_suspendue_portes_coulissantes_long_140">'[1]Tarif Tournus'!$I$564</definedName>
    <definedName name="Armoire_inox_suspendue_portes_coulissantes_long_150">'[1]Tarif Tournus'!$I$565</definedName>
    <definedName name="Armoire_inox_suspendue_portes_coulissantes_long_160">'[1]Tarif Tournus'!$I$566</definedName>
    <definedName name="Armoire_inox_suspendue_portes_coulissantes_long_180">'[1]Tarif Tournus'!$I$567</definedName>
    <definedName name="Armoire_inox_suspendue_portes_coulissantes_long_200">'[1]Tarif Tournus'!$I$568</definedName>
    <definedName name="Bac_à_farine_120_litres">'[1]Tarif Tournus'!$I$120</definedName>
    <definedName name="Bac_à_farine_120_litres_avec_séparation">'[1]Tarif Tournus'!$I$121</definedName>
    <definedName name="bac_d_évaporation">'[1]Tarif Tournus'!$I$674</definedName>
    <definedName name="Balance_de_table_digital_15kg_5gr">'[1]Tarif Bourgeat'!$I$54</definedName>
    <definedName name="Barre_8_dents_avec_support_long_100">'[1]Tarif Tournus'!$I$768</definedName>
    <definedName name="Barre_à_clouche_long_100">'[1]Tarif Tournus'!$I$764</definedName>
    <definedName name="base" hidden="1">'[2]Cal ppe Rad'!$F$87:$F$88</definedName>
    <definedName name="Bloc_2_tiroirs_froids">'[1]Tarif Tournus'!$I$675</definedName>
    <definedName name="Bloc_3_tiroirs">'[1]Tarif Tournus'!$I$291</definedName>
    <definedName name="Bloc_tvo_amovible">'[1]Tarif Sopacom'!$I$79</definedName>
    <definedName name="Bords_anti_ruissellement___fond_pointe_de_diamant___évacuation">'[1]Tarif Tournus'!$I$272</definedName>
    <definedName name="Boucle" hidden="1">'[3]Table réseaux'!$A$4:$H$492</definedName>
    <definedName name="Brita_4217">'[1]Tarif divers'!$I$57</definedName>
    <definedName name="C_acrs_condenseur_récupérateur">'[1]Tarif Comenda'!$I$74</definedName>
    <definedName name="C_acrs_isolation_th_et_ph_1">'[1]Tarif Comenda'!$I$68</definedName>
    <definedName name="C_acrs_isolation_th_et_ph_2">'[1]Tarif Comenda'!$I$69</definedName>
    <definedName name="C_acrs_isolation_th_et_ph_3">'[1]Tarif Comenda'!$I$70</definedName>
    <definedName name="C_acrs_isolation_th_et_ph_4">'[1]Tarif Comenda'!$I$71</definedName>
    <definedName name="C_acrs_isolation_th_et_ph_5">'[1]Tarif Comenda'!$I$72</definedName>
    <definedName name="C_acrs_isolation_th_et_ph_6">'[1]Tarif Comenda'!$I$73</definedName>
    <definedName name="C_acrs_pompe_à_chaleur_W6">'[1]Tarif Comenda'!$I$75</definedName>
    <definedName name="C_acrs_tunnel_de_séchage_60">'[1]Tarif Comenda'!$I$76</definedName>
    <definedName name="C_acs_condenseur_récupérateur_1">'[1]Tarif Comenda'!$I$56</definedName>
    <definedName name="C_acs_condenseur_récupérateur_2">'[1]Tarif Comenda'!$I$57</definedName>
    <definedName name="C_acs_isolation_th_et_ph_1">'[1]Tarif Comenda'!$I$51</definedName>
    <definedName name="C_acs_isolation_th_et_ph_2">'[1]Tarif Comenda'!$I$52</definedName>
    <definedName name="C_acs_isolation_th_et_ph_3">'[1]Tarif Comenda'!$I$53</definedName>
    <definedName name="C_acs_isolation_th_et_ph_4">'[1]Tarif Comenda'!$I$54</definedName>
    <definedName name="C_acs_isolation_th_et_ph_5">'[1]Tarif Comenda'!$I$55</definedName>
    <definedName name="C_acs_pompe_a_chaleur_WP6">'[1]Tarif Comenda'!$I$58</definedName>
    <definedName name="C_acs_tunnel_60">'[1]Tarif Comenda'!$I$59</definedName>
    <definedName name="C_lave_vaisselle_bar_hp300_36p_h_EC_adoucisseur">'[1]Tarif Comenda'!$I$11</definedName>
    <definedName name="C_lave_vaisselle_bar_hp400_36p_h_EC_adoucisseur">'[1]Tarif Comenda'!$I$13</definedName>
    <definedName name="C_lave_vaisselle_bar_hp400_36p_h_EC_adoucisseur_haute">'[1]Tarif Comenda'!$I$15</definedName>
    <definedName name="C_lave_verres_40x40_hp_235_adoucisseur_30p_h">'[1]Tarif Comenda'!$I$4</definedName>
    <definedName name="C_lave_verres_40x40_hp_255_adoucisseur_30p_h">'[1]Tarif Comenda'!$I$5</definedName>
    <definedName name="C_lave_verres_40x40_hp_270_adoucisseur_24p_h">'[1]Tarif Comenda'!$I$6</definedName>
    <definedName name="C_lave_verres_40x40_rehausse_400">'[1]Tarif Comenda'!$I$9</definedName>
    <definedName name="C_machine_à_laver_à_capot_hp440_30p_h_EC">'[1]Tarif Comenda'!$I$29</definedName>
    <definedName name="C_machine_à_laver_à_capot_hp440_30p_h_EC_électronique">'[1]Tarif Comenda'!$I$31</definedName>
    <definedName name="C_machine_à_laver_à_capot_hp440_30p_h_EF_électronique">'[1]Tarif Comenda'!$I$32</definedName>
    <definedName name="C_machine_à_laver_à_capot_isolation">'[1]Tarif Comenda'!$I$34</definedName>
    <definedName name="C_machine_à_laver_à_capot_pompe_de_vidange">'[1]Tarif Comenda'!$I$35</definedName>
    <definedName name="C_machine_à_laver_à_capot_surchauffeur_eau_froide">'[1]Tarif Comenda'!$I$33</definedName>
    <definedName name="C_mal_lp_dr__88p_h">'[1]Tarif Comenda'!$I$42</definedName>
    <definedName name="C_mal_lp_dr_96p_h">'[1]Tarif Comenda'!$I$62</definedName>
    <definedName name="C_mal_lp_sr__100p_h">'[1]Tarif Comenda'!$I$40</definedName>
    <definedName name="C_mal_lp_sr__80p_h">'[1]Tarif Comenda'!$I$41</definedName>
    <definedName name="C_mal_pl_2l_dr__163p_h">'[1]Tarif Comenda'!$I$50</definedName>
    <definedName name="C_mal_pl_2l_dr_190p_h">'[1]Tarif Comenda'!$I$65</definedName>
    <definedName name="C_mal_pl_2l_sr__150p_h">'[1]Tarif Comenda'!$I$49</definedName>
    <definedName name="C_mal_pl_lp_dr__110p_h">'[1]Tarif Comenda'!$I$44</definedName>
    <definedName name="C_mal_pl_lp_dr__122p_h">'[1]Tarif Comenda'!$I$46</definedName>
    <definedName name="C_mal_pl_lp_dr__140p_h">'[1]Tarif Comenda'!$I$48</definedName>
    <definedName name="C_mal_pl_lp_dr_150p_h">'[1]Tarif Comenda'!$I$63</definedName>
    <definedName name="C_mal_pl_lp_sr__103p_h">'[1]Tarif Comenda'!$I$43</definedName>
    <definedName name="C_mal_pl_lp_sr__115p_h">'[1]Tarif Comenda'!$I$45</definedName>
    <definedName name="C_mal_pl_lp_sr__133p_h">'[1]Tarif Comenda'!$I$47</definedName>
    <definedName name="C_mal_pla_2l_dr_205p_h">'[1]Tarif Comenda'!$I$66</definedName>
    <definedName name="C_mal_pla_2lr_dr_245p_h">'[1]Tarif Comenda'!$I$67</definedName>
    <definedName name="C_mal_pla_lp_dr_150p_h">'[1]Tarif Comenda'!$I$64</definedName>
    <definedName name="Cadre_à_glissières_5_GN1_1">'[1]Tarif Tournus'!$I$290</definedName>
    <definedName name="Can_tel_sortie_centrée_30x30">'[1]Tarif divers'!$I$7</definedName>
    <definedName name="Can_tel_sortie_centrée_50x100">'[1]Tarif divers'!$I$12</definedName>
    <definedName name="Can_tel_sortie_centrée_50x50">'[1]Tarif divers'!$I$11</definedName>
    <definedName name="Can_tel_sortie_en_bout_30x100">'[1]Tarif divers'!$I$26</definedName>
    <definedName name="Can_tel_sortie_en_bout_30x130">'[1]Tarif divers'!$I$27</definedName>
    <definedName name="Can_tel_sortie_en_bout_30x150">'[1]Tarif divers'!$I$28</definedName>
    <definedName name="Can_tel_sortie_en_bout_40x80">'[1]Tarif divers'!$I$14</definedName>
    <definedName name="Can_tel_sortie_en_bout_50x100">'[1]Tarif divers'!$I$15</definedName>
    <definedName name="CAPIC_1">'[1]Liste équipements base'!$F$2134</definedName>
    <definedName name="Casier_inox_stockage_batterie_4_niv_long_100">'[1]Tarif Tournus'!$I$758</definedName>
    <definedName name="Casier_inox_stockage_batterie_4_niv_long_140">'[1]Tarif Tournus'!$I$759</definedName>
    <definedName name="Casier_inox_stockage_batterie_4_niv_long_180">'[1]Tarif Tournus'!$I$760</definedName>
    <definedName name="Cellule_ref_et_surg__compact_1_chariot_GN_1_1_sans_groupe">'[1]Tarif friginox'!$I$425</definedName>
    <definedName name="Cellule_ref_et_surg_15_kg_sans_groupe_15niv_35mm">'[1]Tarif friginox'!$I$414</definedName>
    <definedName name="Chariot_à_désservir_avec_roues_chape_inox">'[1]Tarif Tournus'!$I$110</definedName>
    <definedName name="Chariot_à_épices">'[1]Tarif Tournus'!$I$119</definedName>
    <definedName name="Chariot_à_glissières_12_niveaux_40_x_60">'[1]Tarif Tournus'!$I$101</definedName>
    <definedName name="Chariot_à_glissières_15_GN1_1">'[1]Tarif Tournus'!$I$73</definedName>
    <definedName name="Chariot_à_glissières_15_GN1_1_avec_barre_de_fermeture">'[1]Tarif Tournus'!$I$76</definedName>
    <definedName name="Chariot_à_glissières_15_GN2_1">'[1]Tarif Tournus'!$I$82</definedName>
    <definedName name="Chariot_à_glissières_15_GN2_1_avec_barre_de_fermeture">'[1]Tarif Tournus'!$I$85</definedName>
    <definedName name="Chariot_à_glissières_16_niveaux_40_x_60">'[1]Tarif Tournus'!$I$102</definedName>
    <definedName name="Chariot_à_glissières_16_niveaux_60_x_40">'[1]Tarif Tournus'!$I$103</definedName>
    <definedName name="Chariot_à_glissières_16_niveaux_60_x_80">'[1]Tarif Tournus'!$I$104</definedName>
    <definedName name="Chariot_à_glissières_17_GN1_1">'[1]Tarif Tournus'!$I$74</definedName>
    <definedName name="Chariot_à_glissières_17_GN1_1_avec_barre_de_fermeture">'[1]Tarif Tournus'!$I$77</definedName>
    <definedName name="Chariot_à_glissières_17_GN2_1">'[1]Tarif Tournus'!$I$83</definedName>
    <definedName name="Chariot_à_glissières_17_GN2_1_avec_barre_de_fermeture">'[1]Tarif Tournus'!$I$86</definedName>
    <definedName name="Chariot_à_glissières_20_GN1_1">'[1]Tarif Tournus'!$I$75</definedName>
    <definedName name="Chariot_à_glissières_20_GN1_1_avec_barre_de_fermeture">'[1]Tarif Tournus'!$I$78</definedName>
    <definedName name="Chariot_à_glissières_20_GN2_1">'[1]Tarif Tournus'!$I$84</definedName>
    <definedName name="Chariot_à_glissières_20_GN2_1_avec_barre_de_fermeture">'[1]Tarif Tournus'!$I$87</definedName>
    <definedName name="Chariot_à_glissières_20_niveaux_40_x_60">'[1]Tarif Tournus'!$I$105</definedName>
    <definedName name="Chariot_à_glissières_6_GN1_1">'[1]Tarif Tournus'!$I$71</definedName>
    <definedName name="Chariot_à_glissières_6_GN2_1">'[1]Tarif Tournus'!$I$80</definedName>
    <definedName name="Chariot_à_glissières_8_GN1_1">'[1]Tarif Tournus'!$I$72</definedName>
    <definedName name="Chariot_à_glissières_8_GN2_1">'[1]Tarif Tournus'!$I$81</definedName>
    <definedName name="Chariot_à_glissières_9_niveaux_40_x_60">'[1]Tarif Tournus'!$I$100</definedName>
    <definedName name="Chariot_à_glissières_encastrable_20_GN1_1">'[1]Tarif Tournus'!$I$89</definedName>
    <definedName name="Chariot_à_glissières_encastrable_20_GN1_1_avec_barre_de_fermeture">'[1]Tarif Tournus'!$I$91</definedName>
    <definedName name="Chariot_à_glissières_encastrable_20_GN2_1">'[1]Tarif Tournus'!$I$90</definedName>
    <definedName name="Chariot_à_glissières_encastrable_20_GN2_1_avec_barre_de_fermeture">'[1]Tarif Tournus'!$I$92</definedName>
    <definedName name="Chariot_chauffe_assiettes_1_pile_diam_180_à_290_mm">'[1]Tarif Tournus'!$I$46</definedName>
    <definedName name="Chariot_chauffe_assiettes_2_piles_diam_180_à_290_mm">'[1]Tarif Tournus'!$I$47</definedName>
    <definedName name="Chariot_chauffe_assiettes_2_piles_diam_215_à_320_mm">'[1]Tarif Tournus'!$I$48</definedName>
    <definedName name="Chariot_chauffe_assiettes_universel">'[1]Tarif Tournus'!$I$49</definedName>
    <definedName name="Chariot_de_dessouvidage">'[1]Tarif Tournus'!$I$118</definedName>
    <definedName name="Chariot_de_service_2_plateaux_avec_arceaux_plateaux_100_x_60">'[1]Tarif Tournus'!#REF!</definedName>
    <definedName name="Chariot_de_service_2_plateaux_avec_arceaux_plateaux_100_x_60_avec_gallerie">'[1]Tarif Tournus'!$I$12</definedName>
    <definedName name="Chariot_de_service_2_plateaux_avec_arceaux_plateaux_80_x_53">'[1]Tarif Tournus'!#REF!</definedName>
    <definedName name="Chariot_de_service_2_plateaux_avec_arceaux_plateaux_80_x_53___gallerie">'[1]Tarif Tournus'!#REF!</definedName>
    <definedName name="Chariot_de_service_2_plateaux_avec_arceaux_plateaux_80_x_53_avec_gallerie">'[1]Tarif Tournus'!$I$10</definedName>
    <definedName name="Chariot_de_service_2_plateaux_sans_arceaux_plateaux_100_x_60">'[1]Tarif Tournus'!$I$7</definedName>
    <definedName name="Chariot_de_service_2_plateaux_sans_arceaux_plateaux_80_x_53">'[1]Tarif Tournus'!$I$5</definedName>
    <definedName name="Chariot_de_service_3_plateaux_avec_arceaux_plateaux_100_x_60">'[1]Tarif Tournus'!#REF!</definedName>
    <definedName name="Chariot_de_service_3_plateaux_avec_arceaux_plateaux_100_x_60_avec_gallerie">'[1]Tarif Tournus'!$I$13</definedName>
    <definedName name="Chariot_de_service_3_plateaux_avec_arceaux_plateaux_80_x_53">'[1]Tarif Tournus'!#REF!</definedName>
    <definedName name="Chariot_de_service_3_plateaux_avec_arceaux_plateaux_80_x_53_avec_gallerie">'[1]Tarif Tournus'!$I$11</definedName>
    <definedName name="Chariot_de_service_3_plateaux_sans_arceaux_plateaux_100_x_60">'[1]Tarif Tournus'!$I$8</definedName>
    <definedName name="Chariot_de_service_3_plateaux_sans_arceaux_plateaux_80_x_53">'[1]Tarif Tournus'!$I$6</definedName>
    <definedName name="chariot_de_service_bac_à_couverts">'[1]Tarif Tournus'!$I$15</definedName>
    <definedName name="chariot_de_service_bac_à_déchets">'[1]Tarif Tournus'!$I$16</definedName>
    <definedName name="chariot_de_service_support_sac_poubelles">'[1]Tarif Tournus'!$I$17</definedName>
    <definedName name="Chariot_débarrassage_plateaux_entrée_sens_largeur_1_x_12_niveaux">'[1]Tarif Tournus'!$I$61</definedName>
    <definedName name="Chariot_débarrassage_plateaux_entrée_sens_largeur_2_x_12_niveaux">'[1]Tarif Tournus'!$I$62</definedName>
    <definedName name="Chariot_débarrassage_plateaux_entrée_sens_largeur_2_x_6_niveaux">'[1]Tarif Tournus'!$I$59</definedName>
    <definedName name="Chariot_débarrassage_plateaux_entrée_sens_largeur_3_x_6_niveaux">'[1]Tarif Tournus'!$I$60</definedName>
    <definedName name="Chariot_débarrassage_plateaux_entrée_sens_longueur_1_x_12_niveaux">'[1]Tarif Tournus'!$I$64</definedName>
    <definedName name="Chariot_du_chef">'[1]Tarif Tournus'!$I$125</definedName>
    <definedName name="Chariot_niveau_constant_caseirs___plateform_50_x_50">'[1]Tarif Tournus'!$I$51</definedName>
    <definedName name="Chariot_niveau_constant_plateaux___plateform_54_x_38">'[1]Tarif Tournus'!$I$52</definedName>
    <definedName name="Chariot_niveau_constant_plateaux___plateform_54_x_38_avec_guides_latéreaux">'[1]Tarif Tournus'!$I$53</definedName>
    <definedName name="Chariot_petit_déjeuner_avec_roues_chape_inox">'[1]Tarif Tournus'!$I$111</definedName>
    <definedName name="Chariot_plate_forme_inox_dessus_plein">'[1]Tarif Tournus'!$I$115</definedName>
    <definedName name="Chariot_polyvalent_2_plateaux_100_x_60">'[1]Tarif Tournus'!$I$40</definedName>
    <definedName name="chariot_porte_assiette_distributeur_à_couverts">'[1]Tarif Tournus'!$I$27</definedName>
    <definedName name="Chariot_porte_assiettes___200_assiettes_Diamètre_290">'[1]Tarif Tournus'!$I$23</definedName>
    <definedName name="Chariot_porte_assiettes___300_assiettes_Diamètre_290">'[1]Tarif Tournus'!$I$24</definedName>
    <definedName name="Chariot_porte_barquettes_double_paniers">'[1]Tarif Tournus'!$I$123</definedName>
    <definedName name="Chariot_porte_barquettes_simple_panier">'[1]Tarif Tournus'!$I$122</definedName>
    <definedName name="Chariot_porte_casiers_avec_dosseret_plateau_inox_51_x_51">'[1]Tarif Tournus'!$I$38</definedName>
    <definedName name="Chariot_porte_plateaux_avec_dosseret_plateau_inox_75_x_51">'[1]Tarif Tournus'!$I$39</definedName>
    <definedName name="Chariot_porte_ustensils">'[1]Tarif Tournus'!$I$124</definedName>
    <definedName name="Chariot_stockage_batterie_grand_modèle_long_167">'[1]Tarif Tournus'!$I$754</definedName>
    <definedName name="Chariot_stockage_batterie_petit_modèle_long_127">'[1]Tarif Tournus'!$I$753</definedName>
    <definedName name="Chariot_tranche_pain">'[1]Tarif Tournus'!$I$116</definedName>
    <definedName name="Chariots_pour_sachets_sous_vide">'[1]Tarif Tournus'!$I$117</definedName>
    <definedName name="cloison_de_doublage_40">'[1]Tarif dagard'!$I$131</definedName>
    <definedName name="Cloison_gaine_technique_60_ep_60">'[1]Tarif dagard'!$I$135</definedName>
    <definedName name="Cloison_gaine_technique_60_ep_80">'[1]Tarif dagard'!$I$136</definedName>
    <definedName name="Cloison_isotherme_épais_100">'[1]Tarif dagard'!$I$8</definedName>
    <definedName name="Cloison_isotherme_épais_140">'[1]Tarif dagard'!$I$10</definedName>
    <definedName name="Cloison_isotherme_épais_60">'[1]Tarif dagard'!$I$6</definedName>
    <definedName name="cloison_modulaire_avec_insère_ep_60">'[1]Tarif dagard'!$I$137</definedName>
    <definedName name="cloison_modulaire_avec_insère_ep_80">'[1]Tarif dagard'!$I$138</definedName>
    <definedName name="Cloison_modulaire_iso_100">'[1]Tarif dagard'!$I$130</definedName>
    <definedName name="Cloison_modulaire_iso_60">'[1]Tarif dagard'!$I$128</definedName>
    <definedName name="Cloison_modulaire_iso_80">'[1]Tarif dagard'!$I$129</definedName>
    <definedName name="Closon_modulaire_à_tube_100_50">'[1]Tarif dagard'!$I$134</definedName>
    <definedName name="Closon_modulaire_à_tube_60_32">'[1]Tarif dagard'!$I$132</definedName>
    <definedName name="Closon_modulaire_à_tube_80_40">'[1]Tarif dagard'!$I$133</definedName>
    <definedName name="Collecteur_déchets_sous_table">'[1]Tarif Bourgeat'!#REF!</definedName>
    <definedName name="Collecteur_déchets_sous_table_75_litres">'[1]Tarif Bourgeat'!$I$18</definedName>
    <definedName name="Commande_au_genou">'[1]Tarif Tournus'!$I$281</definedName>
    <definedName name="Cornière_spm_90">'[1]Tarif divers'!$I$154</definedName>
    <definedName name="Cornière_spm_variable">'[1]Tarif divers'!$I$155</definedName>
    <definedName name="Couvercle_inox_trou_vide_déchets">'[1]Tarif Tournus'!$I$275</definedName>
    <definedName name="Cuve_inox_mobile_surélevée_140_litres">'[1]Tarif Tournus'!$I$113</definedName>
    <definedName name="Cuvier_GN2_1">'[1]Tarif Tournus'!$I$112</definedName>
    <definedName name="DAGARD_1">'[4]Liste équipements base'!$F$2134</definedName>
    <definedName name="Désinsectiseur_40m²">'[1]Tarif Bourgeat'!$I$206</definedName>
    <definedName name="Désinsectiseur_80m²">'[1]Tarif Bourgeat'!$I$207</definedName>
    <definedName name="Dev" hidden="1">#REF!</definedName>
    <definedName name="Dist_glaçons_et_eau_meuble_support">'[1]Tarif divers'!$I$124</definedName>
    <definedName name="Dist_glaçons_et_eau_p120_s9">'[1]Tarif divers'!$I$121</definedName>
    <definedName name="Dist_glaçons_et_eau_p220_s12">'[1]Tarif divers'!$I$122</definedName>
    <definedName name="Dist_glaçons_et_eau_p220_s18">'[1]Tarif divers'!$I$123</definedName>
    <definedName name="Distributeur_calots_jetables">'[1]Tarif Bourgeat'!$I$200</definedName>
    <definedName name="Distributeur_charlottes_jetables">'[1]Tarif Bourgeat'!$I$202</definedName>
    <definedName name="Distributeur_de_savon">'[1]Tarif Bourgeat'!$I$196</definedName>
    <definedName name="Distributeur_essuies_mains">'[1]Tarif Bourgeat'!$I$197</definedName>
    <definedName name="Distributeur_gants_jetables">'[1]Tarif Bourgeat'!$I$201</definedName>
    <definedName name="Distributeur_masques_jetables">'[1]Tarif Bourgeat'!$I$203</definedName>
    <definedName name="Dosseret_latéral">'[1]Tarif Tournus'!$I$269</definedName>
    <definedName name="Double_vitrage_châssis_pvc_105x125">'[1]Tarif dagard'!$I$196</definedName>
    <definedName name="Double_vitrage_châssis_pvc_85x105">'[1]Tarif dagard'!$I$194</definedName>
    <definedName name="Double_vitrage_châssis_pvc_85x125">'[1]Tarif dagard'!$I$195</definedName>
    <definedName name="Double_vitrage_châssis_pvc_85x85">'[1]Tarif dagard'!$I$193</definedName>
    <definedName name="Douchette_avec_col_de_cygne">'[1]Tarif Tournus'!$I$280</definedName>
    <definedName name="Encoche_pour_pilier">'[1]Tarif Tournus'!$I$271</definedName>
    <definedName name="etagère_1_niveau_chauffant_1_niveau_neutre_long_120">'[1]Tarif Tournus'!$I$647</definedName>
    <definedName name="etagère_1_niveau_chauffant_1_niveau_neutre_long_140">'[1]Tarif Tournus'!$I$648</definedName>
    <definedName name="etagère_1_niveau_chauffant_1_niveau_neutre_long_160">'[1]Tarif Tournus'!$I$649</definedName>
    <definedName name="etagère_1_niveau_chauffant_1_niveau_neutre_long_180">'[1]Tarif Tournus'!$I$650</definedName>
    <definedName name="etagère_1_niveau_chauffant_1_niveau_neutre_long_200">'[1]Tarif Tournus'!$I$651</definedName>
    <definedName name="etagère_2_niveaux_neutres_long_120">'[1]Tarif Tournus'!$I$642</definedName>
    <definedName name="etagère_2_niveaux_neutres_long_140">'[1]Tarif Tournus'!$I$643</definedName>
    <definedName name="etagère_2_niveaux_neutres_long_160">'[1]Tarif Tournus'!$I$644</definedName>
    <definedName name="etagère_2_niveaux_neutres_long_180">'[1]Tarif Tournus'!$I$645</definedName>
    <definedName name="etagère_2_niveaux_neutres_long_200">'[1]Tarif Tournus'!$I$646</definedName>
    <definedName name="etagère_chauffante_long_120">'[1]Tarif Tournus'!$I$636</definedName>
    <definedName name="etagère_chauffante_long_140">'[1]Tarif Tournus'!$I$637</definedName>
    <definedName name="etagère_chauffante_long_160">'[1]Tarif Tournus'!$I$638</definedName>
    <definedName name="etagère_chauffante_long_180">'[1]Tarif Tournus'!$I$639</definedName>
    <definedName name="etagère_chauffante_long_200">'[1]Tarif Tournus'!$I$640</definedName>
    <definedName name="Etagère_murale_1_niv_barreaux_fixe_prof_40_long_100">'[1]Tarif Tournus'!$I$706</definedName>
    <definedName name="Etagère_murale_1_niv_barreaux_fixe_prof_40_long_120">'[1]Tarif Tournus'!$I$707</definedName>
    <definedName name="Etagère_murale_1_niv_barreaux_fixe_prof_40_long_140">'[1]Tarif Tournus'!$I$708</definedName>
    <definedName name="Etagère_murale_1_niv_barreaux_fixe_prof_40_long_150">'[1]Tarif Tournus'!$I$709</definedName>
    <definedName name="Etagère_murale_1_niv_barreaux_fixe_prof_40_long_160">'[1]Tarif Tournus'!$I$710</definedName>
    <definedName name="Etagère_murale_1_niv_barreaux_fixe_prof_40_long_180">'[1]Tarif Tournus'!$I$711</definedName>
    <definedName name="Etagère_murale_1_niv_barreaux_fixe_prof_40_long_200">'[1]Tarif Tournus'!$I$712</definedName>
    <definedName name="Etagère_murale_1_niv_barreaux_fixe_prof_40_long_220">'[1]Tarif Tournus'!$I$713</definedName>
    <definedName name="Etagère_murale_1_niv_crémaillère_prof_29_long_100">'[1]Tarif Tournus'!$I$715</definedName>
    <definedName name="Etagère_murale_1_niv_crémaillère_prof_29_long_120">'[1]Tarif Tournus'!$I$716</definedName>
    <definedName name="Etagère_murale_1_niv_crémaillère_prof_29_long_140">'[1]Tarif Tournus'!$I$717</definedName>
    <definedName name="Etagère_murale_1_niv_crémaillère_prof_29_long_150">'[1]Tarif Tournus'!$I$718</definedName>
    <definedName name="Etagère_murale_1_niv_crémaillère_prof_29_long_160">'[1]Tarif Tournus'!$I$719</definedName>
    <definedName name="Etagère_murale_1_niv_crémaillère_prof_29_long_180">'[1]Tarif Tournus'!$I$720</definedName>
    <definedName name="Etagère_murale_1_niv_crémaillère_prof_29_long_200">'[1]Tarif Tournus'!$I$721</definedName>
    <definedName name="Etagère_murale_1_niv_crémaillère_prof_29_long_220">'[1]Tarif Tournus'!$I$722</definedName>
    <definedName name="Etagère_murale_1_niv_crémaillère_prof_39_long_100">'[1]Tarif Tournus'!$I$733</definedName>
    <definedName name="Etagère_murale_1_niv_crémaillère_prof_39_long_120">'[1]Tarif Tournus'!$I$734</definedName>
    <definedName name="Etagère_murale_1_niv_crémaillère_prof_39_long_140">'[1]Tarif Tournus'!$I$735</definedName>
    <definedName name="Etagère_murale_1_niv_crémaillère_prof_39_long_150">'[1]Tarif Tournus'!$I$736</definedName>
    <definedName name="Etagère_murale_1_niv_crémaillère_prof_39_long_160">'[1]Tarif Tournus'!$I$737</definedName>
    <definedName name="Etagère_murale_1_niv_crémaillère_prof_39_long_180">'[1]Tarif Tournus'!$I$738</definedName>
    <definedName name="Etagère_murale_1_niv_crémaillère_prof_39_long_200">'[1]Tarif Tournus'!$I$739</definedName>
    <definedName name="Etagère_murale_1_niv_crémaillère_prof_39_long_220">'[1]Tarif Tournus'!$I$740</definedName>
    <definedName name="Etagère_murale_1_niv_plein_fixe_prof_40_long_100">'[1]Tarif Tournus'!$I$697</definedName>
    <definedName name="Etagère_murale_1_niv_plein_fixe_prof_40_long_120">'[1]Tarif Tournus'!$I$698</definedName>
    <definedName name="Etagère_murale_1_niv_plein_fixe_prof_40_long_140">'[1]Tarif Tournus'!$I$699</definedName>
    <definedName name="Etagère_murale_1_niv_plein_fixe_prof_40_long_150">'[1]Tarif Tournus'!$I$700</definedName>
    <definedName name="Etagère_murale_1_niv_plein_fixe_prof_40_long_160">'[1]Tarif Tournus'!$I$701</definedName>
    <definedName name="Etagère_murale_1_niv_plein_fixe_prof_40_long_180">'[1]Tarif Tournus'!$I$702</definedName>
    <definedName name="Etagère_murale_1_niv_plein_fixe_prof_40_long_200">'[1]Tarif Tournus'!$I$703</definedName>
    <definedName name="Etagère_murale_1_niv_plein_fixe_prof_40_long_220">'[1]Tarif Tournus'!$I$704</definedName>
    <definedName name="Etagère_murale_2_niv_crémaillère_prof_29_long_100">'[1]Tarif Tournus'!$I$724</definedName>
    <definedName name="Etagère_murale_2_niv_crémaillère_prof_29_long_120">'[1]Tarif Tournus'!$I$725</definedName>
    <definedName name="Etagère_murale_2_niv_crémaillère_prof_29_long_140">'[1]Tarif Tournus'!$I$726</definedName>
    <definedName name="Etagère_murale_2_niv_crémaillère_prof_29_long_150">'[1]Tarif Tournus'!$I$727</definedName>
    <definedName name="Etagère_murale_2_niv_crémaillère_prof_29_long_160">'[1]Tarif Tournus'!$I$728</definedName>
    <definedName name="Etagère_murale_2_niv_crémaillère_prof_29_long_180">'[1]Tarif Tournus'!$I$729</definedName>
    <definedName name="Etagère_murale_2_niv_crémaillère_prof_29_long_200">'[1]Tarif Tournus'!$I$730</definedName>
    <definedName name="Etagère_murale_2_niv_crémaillère_prof_29_long_220">'[1]Tarif Tournus'!$I$731</definedName>
    <definedName name="Etagère_murale_2_niv_crémaillère_prof_39_long_100">'[1]Tarif Tournus'!$I$742</definedName>
    <definedName name="Etagère_murale_2_niv_crémaillère_prof_39_long_120">'[1]Tarif Tournus'!$I$743</definedName>
    <definedName name="Etagère_murale_2_niv_crémaillère_prof_39_long_140">'[1]Tarif Tournus'!$I$744</definedName>
    <definedName name="Etagère_murale_2_niv_crémaillère_prof_39_long_150">'[1]Tarif Tournus'!$I$745</definedName>
    <definedName name="Etagère_murale_2_niv_crémaillère_prof_39_long_160">'[1]Tarif Tournus'!$I$746</definedName>
    <definedName name="Etagère_murale_2_niv_crémaillère_prof_39_long_180">'[1]Tarif Tournus'!$I$747</definedName>
    <definedName name="Etagère_murale_2_niv_crémaillère_prof_39_long_200">'[1]Tarif Tournus'!$I$748</definedName>
    <definedName name="Etagère_murale_2_niv_crémaillère_prof_39_long_220">'[1]Tarif Tournus'!$I$749</definedName>
    <definedName name="etagère_neutre_long_120">'[1]Tarif Tournus'!$I$631</definedName>
    <definedName name="etagère_neutre_long_140">'[1]Tarif Tournus'!$I$632</definedName>
    <definedName name="etagère_neutre_long_160">'[1]Tarif Tournus'!$I$633</definedName>
    <definedName name="etagère_neutre_long_180">'[1]Tarif Tournus'!$I$634</definedName>
    <definedName name="etagère_neutre_long_200">'[1]Tarif Tournus'!$I$635</definedName>
    <definedName name="Etégère_murale_mixte_110">'[1]Tarif Sopacom'!$I$93</definedName>
    <definedName name="Etégère_murale_mixte_160">'[1]Tarif Sopacom'!$I$94</definedName>
    <definedName name="Etégère_murale_mixte_210">'[1]Tarif Sopacom'!$I$95</definedName>
    <definedName name="Etégère_murale_plat_incliné_110">'[1]Tarif Sopacom'!$I$90</definedName>
    <definedName name="Etégère_murale_plat_incliné_160">'[1]Tarif Sopacom'!$I$91</definedName>
    <definedName name="Etégère_murale_plat_incliné_210">'[1]Tarif Sopacom'!$I$92</definedName>
    <definedName name="Etégère_murale_stock_casiers_110">'[1]Tarif Sopacom'!$I$87</definedName>
    <definedName name="Etégère_murale_stock_casiers_160">'[1]Tarif Sopacom'!$I$88</definedName>
    <definedName name="Etégère_murale_stock_casiers_210">'[1]Tarif Sopacom'!$I$89</definedName>
    <definedName name="Evacuation_tube_inox_sur_caniveau">'[1]Tarif Tournus'!$I$276</definedName>
    <definedName name="Extrémité_biaise">'[1]Tarif Tournus'!$I$270</definedName>
    <definedName name="F_Etuve_1_chariot_GN2_1">'[1]Tarif friginox'!$I$446</definedName>
    <definedName name="F_Etuve_1_chariot_GN2_1_porte_vitrée">'[1]Tarif friginox'!$I$447</definedName>
    <definedName name="F_Etuve_2_chariots_GN2_1">'[1]Tarif friginox'!$I$448</definedName>
    <definedName name="F_Etuve_2_chariots_GN2_1_portes_vitrées">'[1]Tarif friginox'!$I$449</definedName>
    <definedName name="F_etuve_humidificateur_auto">'[1]Tarif friginox'!$I$457</definedName>
    <definedName name="F_Etuve_transfert_1_chariot_GN2_1">'[1]Tarif friginox'!$I$450</definedName>
    <definedName name="F_Etuve_transfert_1_chariot_GN2_1_porte_vitrée">'[1]Tarif friginox'!$I$451</definedName>
    <definedName name="F_Etuve_transfert_2_chariots_GN2_1">'[1]Tarif friginox'!$I$452</definedName>
    <definedName name="F_Etuve_transfert_2_chariots_GN2_1_portes_vitrées">'[1]Tarif friginox'!$I$453</definedName>
    <definedName name="Fabrique_de_glace_en_grains_cab_mob_p300_s200">'[1]Tarif divers'!$I$96</definedName>
    <definedName name="Fabrique_de_glace_en_grains_cab_mob_p540_s200">'[1]Tarif divers'!$I$97</definedName>
    <definedName name="Fabrique_de_glace_en_grains_cab_mob_p540_s200_cond_à_distance">'[1]Tarif divers'!$I$98</definedName>
    <definedName name="Fabrique_de_glaçons_pleins_p115_s50">'[1]Tarif divers'!$I$86</definedName>
    <definedName name="Fabrique_de_glaçons_pleins_p140_s70">'[1]Tarif divers'!$I$87</definedName>
    <definedName name="Fabrique_de_glaçons_pleins_p22_s9">'[1]Tarif divers'!$I$80</definedName>
    <definedName name="Fabrique_de_glaçons_pleins_p37_s19">'[1]Tarif divers'!$I$82</definedName>
    <definedName name="Fabrique_de_glaçons_pleins_p46_s23">'[1]Tarif divers'!$I$83</definedName>
    <definedName name="Fabrique_de_glaçons_pleins_p70_s34">'[1]Tarif divers'!$I$84</definedName>
    <definedName name="Fabrique_de_glaçons_pleins_p85_s41">'[1]Tarif divers'!$I$85</definedName>
    <definedName name="Fabrique_glace_en_grains__p110_s32">'[1]Tarif divers'!$I$92</definedName>
    <definedName name="Fabrique_glace_en_grains__p110_s70">'[1]Tarif divers'!$I$93</definedName>
    <definedName name="Fabrique_glace_en_grains__p184_s70">'[1]Tarif divers'!$I$94</definedName>
    <definedName name="Fabrique_glace_en_grains__p64_s25">'[1]Tarif divers'!$I$90</definedName>
    <definedName name="Fabrique_glace_en_grains__p75_s32">'[1]Tarif divers'!$I$91</definedName>
    <definedName name="Fabrique_glaçons_creux_p20_s7">'[1]Tarif divers'!$I$73</definedName>
    <definedName name="Fabrique_glaçons_creux_p30_s10">'[1]Tarif divers'!$I$74</definedName>
    <definedName name="Fabrique_glaçons_creux_p38_s16">'[1]Tarif divers'!$I$75</definedName>
    <definedName name="Fabrique_glaçons_creux_p51_s16">'[1]Tarif divers'!$I$76</definedName>
    <definedName name="Fabrique_glaçons_creux_p65_s27">'[1]Tarif divers'!$I$77</definedName>
    <definedName name="Filtre_fab_glaçon_inf_150">'[1]Tarif divers'!$I$139</definedName>
    <definedName name="Filtre_fab_glaçon_inf_30">'[1]Tarif divers'!$I$138</definedName>
    <definedName name="Filtre_fab_grains_inf_200">'[1]Tarif divers'!$I$142</definedName>
    <definedName name="Filtre_fab_grains_inf_70">'[1]Tarif divers'!$I$141</definedName>
    <definedName name="Filtre_fab_grains_inf_750">'[1]Tarif divers'!$I$143</definedName>
    <definedName name="Filtre_pour_fontaine">'[1]Tarif divers'!$I$137</definedName>
    <definedName name="Fontaine_100">'[1]Tarif divers'!$I$133</definedName>
    <definedName name="Fontaine_150">'[1]Tarif divers'!$I$134</definedName>
    <definedName name="Fontaine_53">'[1]Tarif divers'!$I$129</definedName>
    <definedName name="Fontaine_60_posée">'[1]Tarif divers'!$I$130</definedName>
    <definedName name="Fontaine_80">'[1]Tarif divers'!$I$132</definedName>
    <definedName name="Fontaine_80_posée">'[1]Tarif divers'!$I$131</definedName>
    <definedName name="Four_mixte_cm_10_gn1_1">'[1]Tarif Frima'!$I$20</definedName>
    <definedName name="Four_mixte_cm_10_gn2_1">'[1]Tarif Frima'!$I$22</definedName>
    <definedName name="Four_mixte_cm_20_gn1_1">'[1]Tarif Frima'!$I$23</definedName>
    <definedName name="Four_mixte_cm_20_gn2_1">'[1]Tarif Frima'!$I$24</definedName>
    <definedName name="Four_mixte_cm_6_gn1_1">'[1]Tarif Frima'!$I$19</definedName>
    <definedName name="Four_mixte_cm_6_gn2_1">'[1]Tarif Frima'!$I$21</definedName>
    <definedName name="Four_mixte_cm_doucehtte">'[1]Tarif Frima'!$I$55</definedName>
    <definedName name="Four_mixte_gaz_cm_10_gn1_1">'[1]Tarif Frima'!$I$49</definedName>
    <definedName name="Four_mixte_gaz_cm_10_gn2_1">'[1]Tarif Frima'!$I$51</definedName>
    <definedName name="Four_mixte_gaz_cm_20_gn1_1">'[1]Tarif Frima'!$I$52</definedName>
    <definedName name="Four_mixte_gaz_cm_20_gn2_1">'[1]Tarif Frima'!$I$53</definedName>
    <definedName name="Four_mixte_gaz_cm_6_gn1_1">'[1]Tarif Frima'!$I$48</definedName>
    <definedName name="Four_mixte_gaz_cm_6_gn2_1">'[1]Tarif Frima'!$I$50</definedName>
    <definedName name="Four_mixte_gaz_scc_10_gn1_1">'[1]Tarif Frima'!$I$41</definedName>
    <definedName name="Four_mixte_gaz_scc_10_gn2_1">'[1]Tarif Frima'!$I$43</definedName>
    <definedName name="Four_mixte_gaz_scc_20_gn1_1">'[1]Tarif Frima'!$I$44</definedName>
    <definedName name="Four_mixte_gaz_scc_20_gn2_1">'[1]Tarif Frima'!$I$45</definedName>
    <definedName name="Four_mixte_gaz_scc_6_gn1_1">'[1]Tarif Frima'!$I$40</definedName>
    <definedName name="Four_mixte_gaz_scc_6_gn2_1">'[1]Tarif Frima'!$I$42</definedName>
    <definedName name="Four_mixte_scc_10_gn1_1">'[1]Tarif Frima'!$I$6</definedName>
    <definedName name="Four_mixte_scc_10_gn2_1">'[1]Tarif Frima'!$I$11</definedName>
    <definedName name="Four_mixte_scc_2_support_a_glissières_fermé">'[1]Tarif Frima'!$I$13</definedName>
    <definedName name="Four_mixte_scc_2_support_a_glissières_ouvert">'[1]Tarif Frima'!$I$12</definedName>
    <definedName name="Four_mixte_scc_2_support_étuve">'[1]Tarif Frima'!$I$14</definedName>
    <definedName name="Four_mixte_scc_20_gn1_1">'[1]Tarif Frima'!$I$15</definedName>
    <definedName name="Four_mixte_scc_20_gn2_1">'[1]Tarif Frima'!$I$16</definedName>
    <definedName name="Four_mixte_scc_6_gn1_1">'[1]Tarif Frima'!$I$5</definedName>
    <definedName name="Four_mixte_scc_6_gn2_1">'[1]Tarif Frima'!$I$10</definedName>
    <definedName name="Four_mixte_scc_support_a_glissières_fermé">'[1]Tarif Frima'!$I$8</definedName>
    <definedName name="Four_mixte_scc_support_a_glissières_ouvert">'[1]Tarif Frima'!$I$7</definedName>
    <definedName name="Four_mixte_scc_support_étuve">'[1]Tarif Frima'!$I$9</definedName>
    <definedName name="frima_optimiseur_sicotronique">'[1]Tarif Frima'!$I$26</definedName>
    <definedName name="frima_vcc_112">'[1]Tarif Frima'!$I$29</definedName>
    <definedName name="frima_vcc_112_plus">'[1]Tarif Frima'!$I$30</definedName>
    <definedName name="frima_vcc_211">'[1]Tarif Frima'!$I$31</definedName>
    <definedName name="frima_vcc_211_plus">'[1]Tarif Frima'!$I$32</definedName>
    <definedName name="frima_vcc_311">'[1]Tarif Frima'!$I$33</definedName>
    <definedName name="frima_vcc_311_plus">'[1]Tarif Frima'!$I$34</definedName>
    <definedName name="frima_vcc_caissons_rangement">'[1]Tarif Frima'!$I$36</definedName>
    <definedName name="frima_vcc_plaque_vitro">'[1]Tarif Frima'!$I$35</definedName>
    <definedName name="habillage_3_cotés">'[1]Tarif Tournus'!$I$283</definedName>
    <definedName name="ImputCana" hidden="1">#REF!</definedName>
    <definedName name="lave_mains_monobloc_avec_poubelle_et_brosse_a_ongles">'[1]Tarif Bourgeat'!$I$194</definedName>
    <definedName name="LignesCalcul" hidden="1">#REF!</definedName>
    <definedName name="Lisse_spm_100mm">'[1]Tarif divers'!$I$150</definedName>
    <definedName name="Lisse_spm_120mm">'[1]Tarif divers'!$I$151</definedName>
    <definedName name="Lisse_spm_150mm">'[1]Tarif divers'!$I$152</definedName>
    <definedName name="Lisse_spm_200mm">'[1]Tarif divers'!$I$153</definedName>
    <definedName name="MAC_auto_avec_cap_360c_h_2_têtes">'[1]Tarif divers'!$I$54</definedName>
    <definedName name="MAC_flitres_288c_h_eau_chaude_21litres">'[1]Tarif divers'!$I$65</definedName>
    <definedName name="Meuble_1_porte_battante_1_tiroir_avec_dosseret">'[1]Tarif Tournus'!$I$553</definedName>
    <definedName name="Meuble_1_porte_battante_avec_dosseret">'[1]Tarif Tournus'!$I$539</definedName>
    <definedName name="Meuble_2_portes_battante_avec_dosseret">'[1]Tarif Tournus'!$I$540</definedName>
    <definedName name="Meuble_2_portes_battantes_2_tiroirs_avec_dosseret">'[1]Tarif Tournus'!$I$554</definedName>
    <definedName name="Meuble_2_portes_coulissantes_3_tiroirs_avec_dosseret">'[1]Tarif Tournus'!$I$555</definedName>
    <definedName name="Meuble_2_portes_coulissantes_4_tiroirs_avec_dosseret">'[1]Tarif Tournus'!$I$556</definedName>
    <definedName name="Meuble_3_tiroirs_GN_1_1_avec_dosseret">'[1]Tarif Tournus'!$I$547</definedName>
    <definedName name="Meuble_3_tiroirs_GN_1_1_et_tirette_avec_dosseret">'[1]Tarif Tournus'!$I$546</definedName>
    <definedName name="Meuble_4_tiroirs_GN_1_1_avec_dosseret">'[1]Tarif Tournus'!$I$545</definedName>
    <definedName name="Meuble_chauffant_dessus_chauffant_etuve_1_face_long_120">'[1]Tarif Tournus'!$I$615</definedName>
    <definedName name="Meuble_chauffant_dessus_chauffant_etuve_1_face_long_140">'[1]Tarif Tournus'!$I$616</definedName>
    <definedName name="Meuble_chauffant_dessus_chauffant_etuve_1_face_long_160">'[1]Tarif Tournus'!$I$617</definedName>
    <definedName name="Meuble_chauffant_dessus_chauffant_etuve_1_face_long_180">'[1]Tarif Tournus'!$I$618</definedName>
    <definedName name="Meuble_chauffant_dessus_chauffant_etuve_1_face_long_200">'[1]Tarif Tournus'!$I$619</definedName>
    <definedName name="Meuble_chauffant_dessus_chauffant_etuve_2_faces_long_120">'[1]Tarif Tournus'!$I$621</definedName>
    <definedName name="Meuble_chauffant_dessus_chauffant_etuve_2_faces_long_140">'[1]Tarif Tournus'!$I$622</definedName>
    <definedName name="Meuble_chauffant_dessus_chauffant_etuve_2_faces_long_160">'[1]Tarif Tournus'!$I$623</definedName>
    <definedName name="Meuble_chauffant_dessus_chauffant_etuve_2_faces_long_180">'[1]Tarif Tournus'!$I$624</definedName>
    <definedName name="Meuble_chauffant_dessus_chauffant_etuve_2_faces_long_200">'[1]Tarif Tournus'!$I$625</definedName>
    <definedName name="Meuble_chauffant_dessus_neutre_etuve_1_face_long_120">'[1]Tarif Tournus'!$I$603</definedName>
    <definedName name="Meuble_chauffant_dessus_neutre_etuve_1_face_long_140">'[1]Tarif Tournus'!$I$604</definedName>
    <definedName name="Meuble_chauffant_dessus_neutre_etuve_1_face_long_160">'[1]Tarif Tournus'!$I$605</definedName>
    <definedName name="Meuble_chauffant_dessus_neutre_etuve_1_face_long_180">'[1]Tarif Tournus'!$I$606</definedName>
    <definedName name="Meuble_chauffant_dessus_neutre_etuve_1_face_long_200">'[1]Tarif Tournus'!$I$607</definedName>
    <definedName name="Meuble_chauffant_dessus_neutre_etuve_2_faces_long_120">'[1]Tarif Tournus'!$I$609</definedName>
    <definedName name="Meuble_chauffant_dessus_neutre_etuve_2_faces_long_140">'[1]Tarif Tournus'!$I$610</definedName>
    <definedName name="Meuble_chauffant_dessus_neutre_etuve_2_faces_long_160">'[1]Tarif Tournus'!$I$611</definedName>
    <definedName name="Meuble_chauffant_dessus_neutre_etuve_2_faces_long_180">'[1]Tarif Tournus'!$I$612</definedName>
    <definedName name="Meuble_chauffant_dessus_neutre_etuve_2_faces_long_200">'[1]Tarif Tournus'!$I$613</definedName>
    <definedName name="Meuble_d_angle_avec_dosseret">'[1]Tarif Tournus'!$I$535</definedName>
    <definedName name="Meuble_froid_avec_groupe_inox_2_en_40">'[1]Tarif Tournus'!$I$679</definedName>
    <definedName name="Meuble_froid_avec_groupe_inox_2_en_40_granit">'[1]Tarif Tournus'!$I$687</definedName>
    <definedName name="Meuble_froid_avec_groupe_inox_2_gn_1_1">'[1]Tarif Tournus'!$I$655</definedName>
    <definedName name="Meuble_froid_avec_groupe_inox_2_gn_1_1_granit">'[1]Tarif Tournus'!$I$663</definedName>
    <definedName name="Meuble_froid_avec_groupe_inox_3_en_40">'[1]Tarif Tournus'!$I$680</definedName>
    <definedName name="Meuble_froid_avec_groupe_inox_3_en_40_granit">'[1]Tarif Tournus'!$I$688</definedName>
    <definedName name="Meuble_froid_avec_groupe_inox_3_gn_1_1">'[1]Tarif Tournus'!$I$656</definedName>
    <definedName name="Meuble_froid_avec_groupe_inox_3_gn_1_1_granit">'[1]Tarif Tournus'!$I$664</definedName>
    <definedName name="Meuble_froid_avec_groupe_inox_4_en_40">'[1]Tarif Tournus'!$I$681</definedName>
    <definedName name="Meuble_froid_avec_groupe_inox_4_en_40_granit">'[1]Tarif Tournus'!$I$689</definedName>
    <definedName name="Meuble_froid_avec_groupe_inox_4_gn_1_1">'[1]Tarif Tournus'!$I$657</definedName>
    <definedName name="Meuble_froid_avec_groupe_inox_4_gn_1_1_granit">'[1]Tarif Tournus'!$I$665</definedName>
    <definedName name="Meuble_froid_sans_groupe_inox_2_en_40">'[1]Tarif Tournus'!$I$683</definedName>
    <definedName name="Meuble_froid_sans_groupe_inox_2_en_40_granit">'[1]Tarif Tournus'!$I$691</definedName>
    <definedName name="Meuble_froid_sans_groupe_inox_2_gn_1_1">'[1]Tarif Tournus'!$I$659</definedName>
    <definedName name="Meuble_froid_sans_groupe_inox_2_gn_1_1_granit">'[1]Tarif Tournus'!$I$667</definedName>
    <definedName name="Meuble_froid_sans_groupe_inox_3_en_40">'[1]Tarif Tournus'!$I$684</definedName>
    <definedName name="Meuble_froid_sans_groupe_inox_3_en_40_granit">'[1]Tarif Tournus'!$I$692</definedName>
    <definedName name="Meuble_froid_sans_groupe_inox_3_gn_1_1">'[1]Tarif Tournus'!$I$660</definedName>
    <definedName name="Meuble_froid_sans_groupe_inox_3_gn_1_1_granit">'[1]Tarif Tournus'!$I$668</definedName>
    <definedName name="Meuble_froid_sans_groupe_inox_4_en_40">'[1]Tarif Tournus'!$I$685</definedName>
    <definedName name="Meuble_froid_sans_groupe_inox_4_en_40_granit">'[1]Tarif Tournus'!$I$693</definedName>
    <definedName name="Meuble_froid_sans_groupe_inox_4_gn_1_1">'[1]Tarif Tournus'!$I$661</definedName>
    <definedName name="Meuble_froid_sans_groupe_inox_4_gn_1_1_granit">'[1]Tarif Tournus'!$I$669</definedName>
    <definedName name="Meuble_inox_prof_60_adossé_simple_face_porte_coulissante_long_100">'[1]Tarif Tournus'!$I$383</definedName>
    <definedName name="Meuble_inox_prof_60_adossé_simple_face_porte_coulissante_long_120">'[1]Tarif Tournus'!$I$384</definedName>
    <definedName name="Meuble_inox_prof_60_adossé_simple_face_porte_coulissante_long_140">'[1]Tarif Tournus'!$I$385</definedName>
    <definedName name="Meuble_inox_prof_60_adossé_simple_face_porte_coulissante_long_150">'[1]Tarif Tournus'!$I$386</definedName>
    <definedName name="Meuble_inox_prof_60_adossé_simple_face_porte_coulissante_long_160">'[1]Tarif Tournus'!$I$387</definedName>
    <definedName name="Meuble_inox_prof_60_adossé_simple_face_porte_coulissante_long_180">'[1]Tarif Tournus'!$I$388</definedName>
    <definedName name="Meuble_inox_prof_60_adossé_simple_face_porte_coulissante_long_200">'[1]Tarif Tournus'!$I$389</definedName>
    <definedName name="Meuble_inox_prof_60_adossé_simple_face_porte_coulissante_long_220">'[1]Tarif Tournus'!$I$390</definedName>
    <definedName name="Meuble_inox_prof_60_adossé_simple_face_porte_coulissante_long_240">'[1]Tarif Tournus'!$I$391</definedName>
    <definedName name="Meuble_inox_prof_60_central_simple_face_porte_coulissante_long_100">'[1]Tarif Tournus'!$I$393</definedName>
    <definedName name="Meuble_inox_prof_60_central_simple_face_porte_coulissante_long_120">'[1]Tarif Tournus'!$I$394</definedName>
    <definedName name="Meuble_inox_prof_60_central_simple_face_porte_coulissante_long_140">'[1]Tarif Tournus'!$I$395</definedName>
    <definedName name="Meuble_inox_prof_60_central_simple_face_porte_coulissante_long_150">'[1]Tarif Tournus'!$I$396</definedName>
    <definedName name="Meuble_inox_prof_60_central_simple_face_porte_coulissante_long_160">'[1]Tarif Tournus'!$I$397</definedName>
    <definedName name="Meuble_inox_prof_60_central_simple_face_porte_coulissante_long_180">'[1]Tarif Tournus'!$I$398</definedName>
    <definedName name="Meuble_inox_prof_60_central_simple_face_porte_coulissante_long_200">'[1]Tarif Tournus'!$I$399</definedName>
    <definedName name="Meuble_inox_prof_60_central_simple_face_porte_coulissante_long_220">'[1]Tarif Tournus'!$I$400</definedName>
    <definedName name="Meuble_inox_prof_60_central_simple_face_porte_coulissante_long_240">'[1]Tarif Tournus'!$I$401</definedName>
    <definedName name="Meuble_inox_prof_70_adossé_simple_face_porte_coulissante_granit_long_100">'[1]Tarif Tournus'!$I$461</definedName>
    <definedName name="Meuble_inox_prof_70_adossé_simple_face_porte_coulissante_granit_long_120">'[1]Tarif Tournus'!$I$462</definedName>
    <definedName name="Meuble_inox_prof_70_adossé_simple_face_porte_coulissante_granit_long_140">'[1]Tarif Tournus'!$I$463</definedName>
    <definedName name="Meuble_inox_prof_70_adossé_simple_face_porte_coulissante_granit_long_150">'[1]Tarif Tournus'!$I$464</definedName>
    <definedName name="Meuble_inox_prof_70_adossé_simple_face_porte_coulissante_granit_long_160">'[1]Tarif Tournus'!$I$465</definedName>
    <definedName name="Meuble_inox_prof_70_adossé_simple_face_porte_coulissante_granit_long_180">'[1]Tarif Tournus'!$I$466</definedName>
    <definedName name="Meuble_inox_prof_70_adossé_simple_face_porte_coulissante_granit_long_200">'[1]Tarif Tournus'!$I$467</definedName>
    <definedName name="Meuble_inox_prof_70_adossé_simple_face_porte_coulissante_granit_long_220">'[1]Tarif Tournus'!$I$468</definedName>
    <definedName name="Meuble_inox_prof_70_adossé_simple_face_porte_coulissante_granit_long_240">'[1]Tarif Tournus'!$I$469</definedName>
    <definedName name="Meuble_inox_prof_70_adossé_simple_face_porte_coulissante_long_100">'[1]Tarif Tournus'!$I$407</definedName>
    <definedName name="Meuble_inox_prof_70_adossé_simple_face_porte_coulissante_long_120">'[1]Tarif Tournus'!$I$408</definedName>
    <definedName name="Meuble_inox_prof_70_adossé_simple_face_porte_coulissante_long_140">'[1]Tarif Tournus'!$I$409</definedName>
    <definedName name="Meuble_inox_prof_70_adossé_simple_face_porte_coulissante_long_150">'[1]Tarif Tournus'!$I$410</definedName>
    <definedName name="Meuble_inox_prof_70_adossé_simple_face_porte_coulissante_long_160">'[1]Tarif Tournus'!$I$411</definedName>
    <definedName name="Meuble_inox_prof_70_adossé_simple_face_porte_coulissante_long_180">'[1]Tarif Tournus'!$I$412</definedName>
    <definedName name="Meuble_inox_prof_70_adossé_simple_face_porte_coulissante_long_200">'[1]Tarif Tournus'!$I$413</definedName>
    <definedName name="Meuble_inox_prof_70_adossé_simple_face_porte_coulissante_long_220">'[1]Tarif Tournus'!$I$414</definedName>
    <definedName name="Meuble_inox_prof_70_adossé_simple_face_porte_coulissante_long_240">'[1]Tarif Tournus'!$I$415</definedName>
    <definedName name="Meuble_inox_prof_70_central_double_faces_porte_coulissante_granit_long_100">'[1]Tarif Tournus'!$I$481</definedName>
    <definedName name="Meuble_inox_prof_70_central_double_faces_porte_coulissante_granit_long_120">'[1]Tarif Tournus'!$I$482</definedName>
    <definedName name="Meuble_inox_prof_70_central_double_faces_porte_coulissante_granit_long_140">'[1]Tarif Tournus'!$I$483</definedName>
    <definedName name="Meuble_inox_prof_70_central_double_faces_porte_coulissante_granit_long_150">'[1]Tarif Tournus'!$I$484</definedName>
    <definedName name="Meuble_inox_prof_70_central_double_faces_porte_coulissante_granit_long_160">'[1]Tarif Tournus'!$I$485</definedName>
    <definedName name="Meuble_inox_prof_70_central_double_faces_porte_coulissante_granit_long_180">'[1]Tarif Tournus'!$I$486</definedName>
    <definedName name="Meuble_inox_prof_70_central_double_faces_porte_coulissante_granit_long_200">'[1]Tarif Tournus'!$I$487</definedName>
    <definedName name="Meuble_inox_prof_70_central_double_faces_porte_coulissante_long_100">'[1]Tarif Tournus'!$I$427</definedName>
    <definedName name="Meuble_inox_prof_70_central_double_faces_porte_coulissante_long_120">'[1]Tarif Tournus'!$I$428</definedName>
    <definedName name="Meuble_inox_prof_70_central_double_faces_porte_coulissante_long_140">'[1]Tarif Tournus'!$I$429</definedName>
    <definedName name="Meuble_inox_prof_70_central_double_faces_porte_coulissante_long_150">'[1]Tarif Tournus'!$I$430</definedName>
    <definedName name="Meuble_inox_prof_70_central_double_faces_porte_coulissante_long_160">'[1]Tarif Tournus'!$I$431</definedName>
    <definedName name="Meuble_inox_prof_70_central_double_faces_porte_coulissante_long_180">'[1]Tarif Tournus'!$I$432</definedName>
    <definedName name="Meuble_inox_prof_70_central_double_faces_porte_coulissante_long_200">'[1]Tarif Tournus'!$I$433</definedName>
    <definedName name="Meuble_inox_prof_70_central_simple_face_porte_coulissante_granit_long_100">'[1]Tarif Tournus'!$I$471</definedName>
    <definedName name="Meuble_inox_prof_70_central_simple_face_porte_coulissante_granit_long_120">'[1]Tarif Tournus'!$I$472</definedName>
    <definedName name="Meuble_inox_prof_70_central_simple_face_porte_coulissante_granit_long_140">'[1]Tarif Tournus'!$I$473</definedName>
    <definedName name="Meuble_inox_prof_70_central_simple_face_porte_coulissante_granit_long_150">'[1]Tarif Tournus'!$I$474</definedName>
    <definedName name="Meuble_inox_prof_70_central_simple_face_porte_coulissante_granit_long_160">'[1]Tarif Tournus'!$I$475</definedName>
    <definedName name="Meuble_inox_prof_70_central_simple_face_porte_coulissante_granit_long_180">'[1]Tarif Tournus'!$I$476</definedName>
    <definedName name="Meuble_inox_prof_70_central_simple_face_porte_coulissante_granit_long_200">'[1]Tarif Tournus'!$I$477</definedName>
    <definedName name="Meuble_inox_prof_70_central_simple_face_porte_coulissante_granit_long_220">'[1]Tarif Tournus'!$I$478</definedName>
    <definedName name="Meuble_inox_prof_70_central_simple_face_porte_coulissante_granit_long_240">'[1]Tarif Tournus'!$I$479</definedName>
    <definedName name="Meuble_inox_prof_70_central_simple_face_porte_coulissante_long_100">'[1]Tarif Tournus'!$I$417</definedName>
    <definedName name="Meuble_inox_prof_70_central_simple_face_porte_coulissante_long_120">'[1]Tarif Tournus'!$I$418</definedName>
    <definedName name="Meuble_inox_prof_70_central_simple_face_porte_coulissante_long_140">'[1]Tarif Tournus'!$I$419</definedName>
    <definedName name="Meuble_inox_prof_70_central_simple_face_porte_coulissante_long_150">'[1]Tarif Tournus'!$I$420</definedName>
    <definedName name="Meuble_inox_prof_70_central_simple_face_porte_coulissante_long_160">'[1]Tarif Tournus'!$I$421</definedName>
    <definedName name="Meuble_inox_prof_70_central_simple_face_porte_coulissante_long_180">'[1]Tarif Tournus'!$I$422</definedName>
    <definedName name="Meuble_inox_prof_70_central_simple_face_porte_coulissante_long_200">'[1]Tarif Tournus'!$I$423</definedName>
    <definedName name="Meuble_inox_prof_70_central_simple_face_porte_coulissante_long_220">'[1]Tarif Tournus'!$I$424</definedName>
    <definedName name="Meuble_inox_prof_70_central_simple_face_porte_coulissante_long_240">'[1]Tarif Tournus'!$I$425</definedName>
    <definedName name="Meuble_inox_prof_80_adossé_simple_face_porte_coulissante_granit_long_100">'[1]Tarif Tournus'!$I$490</definedName>
    <definedName name="Meuble_inox_prof_80_adossé_simple_face_porte_coulissante_granit_long_120">'[1]Tarif Tournus'!$I$491</definedName>
    <definedName name="Meuble_inox_prof_80_adossé_simple_face_porte_coulissante_granit_long_140">'[1]Tarif Tournus'!$I$492</definedName>
    <definedName name="Meuble_inox_prof_80_adossé_simple_face_porte_coulissante_granit_long_150">'[1]Tarif Tournus'!$I$493</definedName>
    <definedName name="Meuble_inox_prof_80_adossé_simple_face_porte_coulissante_granit_long_160">'[1]Tarif Tournus'!$I$494</definedName>
    <definedName name="Meuble_inox_prof_80_adossé_simple_face_porte_coulissante_granit_long_180">'[1]Tarif Tournus'!$I$495</definedName>
    <definedName name="Meuble_inox_prof_80_adossé_simple_face_porte_coulissante_granit_long_200">'[1]Tarif Tournus'!$I$496</definedName>
    <definedName name="Meuble_inox_prof_80_adossé_simple_face_porte_coulissante_granit_long_220">'[1]Tarif Tournus'!$I$497</definedName>
    <definedName name="Meuble_inox_prof_80_adossé_simple_face_porte_coulissante_granit_long_240">'[1]Tarif Tournus'!$I$498</definedName>
    <definedName name="Meuble_inox_prof_80_adossé_simple_face_porte_coulissante_long_100">'[1]Tarif Tournus'!$I$436</definedName>
    <definedName name="Meuble_inox_prof_80_adossé_simple_face_porte_coulissante_long_120">'[1]Tarif Tournus'!$I$437</definedName>
    <definedName name="Meuble_inox_prof_80_adossé_simple_face_porte_coulissante_long_140">'[1]Tarif Tournus'!$I$438</definedName>
    <definedName name="Meuble_inox_prof_80_adossé_simple_face_porte_coulissante_long_150">'[1]Tarif Tournus'!$I$439</definedName>
    <definedName name="Meuble_inox_prof_80_adossé_simple_face_porte_coulissante_long_160">'[1]Tarif Tournus'!$I$440</definedName>
    <definedName name="Meuble_inox_prof_80_adossé_simple_face_porte_coulissante_long_180">'[1]Tarif Tournus'!$I$441</definedName>
    <definedName name="Meuble_inox_prof_80_adossé_simple_face_porte_coulissante_long_200">'[1]Tarif Tournus'!$I$442</definedName>
    <definedName name="Meuble_inox_prof_80_adossé_simple_face_porte_coulissante_long_220">'[1]Tarif Tournus'!$I$443</definedName>
    <definedName name="Meuble_inox_prof_80_adossé_simple_face_porte_coulissante_long_240">'[1]Tarif Tournus'!$I$444</definedName>
    <definedName name="Meuble_inox_prof_80_central_simple_face_porte_coulissante_granit_long_100">'[1]Tarif Tournus'!$I$500</definedName>
    <definedName name="Meuble_inox_prof_80_central_simple_face_porte_coulissante_granit_long_120">'[1]Tarif Tournus'!$I$501</definedName>
    <definedName name="Meuble_inox_prof_80_central_simple_face_porte_coulissante_granit_long_140">'[1]Tarif Tournus'!$I$502</definedName>
    <definedName name="Meuble_inox_prof_80_central_simple_face_porte_coulissante_granit_long_150">'[1]Tarif Tournus'!$I$503</definedName>
    <definedName name="Meuble_inox_prof_80_central_simple_face_porte_coulissante_granit_long_160">'[1]Tarif Tournus'!$I$504</definedName>
    <definedName name="Meuble_inox_prof_80_central_simple_face_porte_coulissante_granit_long_180">'[1]Tarif Tournus'!$I$505</definedName>
    <definedName name="Meuble_inox_prof_80_central_simple_face_porte_coulissante_granit_long_200">'[1]Tarif Tournus'!$I$506</definedName>
    <definedName name="Meuble_inox_prof_80_central_simple_face_porte_coulissante_granit_long_220">'[1]Tarif Tournus'!$I$507</definedName>
    <definedName name="Meuble_inox_prof_80_central_simple_face_porte_coulissante_granit_long_240">'[1]Tarif Tournus'!$I$508</definedName>
    <definedName name="Meuble_inox_prof_80_central_simple_face_porte_coulissante_long_100">'[1]Tarif Tournus'!$I$446</definedName>
    <definedName name="Meuble_inox_prof_80_central_simple_face_porte_coulissante_long_120">'[1]Tarif Tournus'!$I$447</definedName>
    <definedName name="Meuble_inox_prof_80_central_simple_face_porte_coulissante_long_140">'[1]Tarif Tournus'!$I$448</definedName>
    <definedName name="Meuble_inox_prof_80_central_simple_face_porte_coulissante_long_150">'[1]Tarif Tournus'!$I$449</definedName>
    <definedName name="Meuble_inox_prof_80_central_simple_face_porte_coulissante_long_160">'[1]Tarif Tournus'!$I$450</definedName>
    <definedName name="Meuble_inox_prof_80_central_simple_face_porte_coulissante_long_180">'[1]Tarif Tournus'!$I$451</definedName>
    <definedName name="Meuble_inox_prof_80_central_simple_face_porte_coulissante_long_200">'[1]Tarif Tournus'!$I$452</definedName>
    <definedName name="Meuble_inox_prof_80_central_simple_face_porte_coulissante_long_220">'[1]Tarif Tournus'!$I$453</definedName>
    <definedName name="Meuble_inox_prof_80_central_simple_face_porte_coulissante_long_240">'[1]Tarif Tournus'!$I$454</definedName>
    <definedName name="mitigeur_thermostatique_pour_poste_mural">'[1]Tarif divers'!$I$46</definedName>
    <definedName name="Natte_d_étanchéité_pour_ss_plastique">'[1]Tarif divers'!$I$40</definedName>
    <definedName name="NomDeSociete" hidden="1">#REF!</definedName>
    <definedName name="NomFichier" hidden="1">#REF!</definedName>
    <definedName name="Npsh" hidden="1">#REF!</definedName>
    <definedName name="Npsh1" hidden="1">'[5]Cal ppe Rad'!$F$87:$F$88</definedName>
    <definedName name="PdcGaine" hidden="1">#REF!</definedName>
    <definedName name="PdcRobinetterie" hidden="1">'[6]Table réseaux'!$K$5:$M$100</definedName>
    <definedName name="plafond_isotherme_épais_100">'[1]Tarif dagard'!$I$16</definedName>
    <definedName name="plafond_isotherme_épais_120">'[1]Tarif dagard'!$I$17</definedName>
    <definedName name="plafond_isotherme_épais_140">'[1]Tarif dagard'!$I$18</definedName>
    <definedName name="plafond_isotherme_épais_160">'[1]Tarif dagard'!$I$19</definedName>
    <definedName name="plafond_isotherme_épais_60">'[1]Tarif dagard'!$I$14</definedName>
    <definedName name="plafond_isotherme_épais_80">'[1]Tarif dagard'!$I$15</definedName>
    <definedName name="Plaque_spm_haut_1m">'[1]Tarif divers'!$I$156</definedName>
    <definedName name="Plonge_sur_pieds_prof_60_1_bac_50_x_40_1_egouttoir">'[1]Tarif Tournus'!$I$316</definedName>
    <definedName name="Plonge_sur_pieds_prof_60_2_bacs_50_x_40">'[1]Tarif Tournus'!$I$318</definedName>
    <definedName name="Plonge_sur_pieds_prof_60_2_bacs_50_x_40_1_egouttoir">'[1]Tarif Tournus'!$I$317</definedName>
    <definedName name="Plonge_sur_pieds_prof_70_1_bac_50_x_50">'[1]Tarif Tournus'!$I$322</definedName>
    <definedName name="Plonge_sur_pieds_prof_70_1_bac_50_x_50_1_egouttoir">'[1]Tarif Tournus'!$I$323</definedName>
    <definedName name="Plonge_sur_pieds_prof_70_1_bac_60_x_50">'[1]Tarif Tournus'!$I$329</definedName>
    <definedName name="Plonge_sur_pieds_prof_70_1_bac_60_x_50_1_egouttoir">'[1]Tarif Tournus'!$I$330</definedName>
    <definedName name="Plonge_sur_pieds_prof_70_2_bacs_50_x_50">'[1]Tarif Tournus'!$I$324</definedName>
    <definedName name="Plonge_sur_pieds_prof_70_2_bacs_50_x_50_1_egouttoir_long_160">'[1]Tarif Tournus'!$I$325</definedName>
    <definedName name="Plonge_sur_pieds_prof_70_2_bacs_50_x_50_1_egouttoir_long_180">'[1]Tarif Tournus'!$I$326</definedName>
    <definedName name="Plonge_sur_pieds_prof_70_2_bacs_60_x_50">'[1]Tarif Tournus'!$I$331</definedName>
    <definedName name="Plonge_sur_pieds_prof_70_2_bacs_60_x_50_1_egouttoir">'[1]Tarif Tournus'!$I$332</definedName>
    <definedName name="Plonge_sur_pieds_prof_70_2_bacs_60_x_50_2_egouttoirs">'[1]Tarif Tournus'!$I$333</definedName>
    <definedName name="Plonge_sur_pieds_prof_70_3_bacs_50_x_50">'[1]Tarif Tournus'!$I$327</definedName>
    <definedName name="Plonge_sur_pieds_prof_80_1_bac_80_x_60">'[1]Tarif Tournus'!$I$337</definedName>
    <definedName name="Plonge_sur_pieds_prof_80_1_bac_80_x_60_1_egouttoir">'[1]Tarif Tournus'!$I$338</definedName>
    <definedName name="Plonge_sur_pieds_prof_80_2_bacs_80_x_60">'[1]Tarif Tournus'!$I$339</definedName>
    <definedName name="Plonge_sur_pieds_prof_80_2_bacs_80_x_60_1_egouttoir">'[1]Tarif Tournus'!$I$340</definedName>
    <definedName name="Plonge_suspendu_prof_70_1_bac_50_x_50">'[1]Tarif Tournus'!$I$363</definedName>
    <definedName name="Plonge_suspendu_prof_70_1_bac_50_x_50_1_egouttoir">'[1]Tarif Tournus'!$I$364</definedName>
    <definedName name="Plonge_suspendu_prof_70_1_bac_60_x_50">'[1]Tarif Tournus'!$I$368</definedName>
    <definedName name="Plonge_suspendu_prof_70_1_bac_60_x_50_1_egouttoir">'[1]Tarif Tournus'!$I$369</definedName>
    <definedName name="Plonge_suspendu_prof_70_2_bacs_50_x_50">'[1]Tarif Tournus'!$I$365</definedName>
    <definedName name="Plonge_suspendu_prof_70_2_bacs_50_x_50_1_egouttoir">'[1]Tarif Tournus'!$I$366</definedName>
    <definedName name="Plonge_suspendu_prof_70_2_bacs_60_x_50">'[1]Tarif Tournus'!$I$370</definedName>
    <definedName name="Plonge_suspendu_prof_70_2_bacs_60_x_50_1_egouttoir">'[1]Tarif Tournus'!$I$371</definedName>
    <definedName name="Plonge_suspendu_prof_70_2_bacs_60_x_50_2_egouttoirs">'[1]Tarif Tournus'!$I$372</definedName>
    <definedName name="Pont_de_tri_amovible_55x70">'[1]Tarif Sopacom'!$I$74</definedName>
    <definedName name="Pont_de_tri_amovible_55x80">'[1]Tarif Sopacom'!$I$76</definedName>
    <definedName name="Pont_de_tri_amovible_55x80_avec_tvo">'[1]Tarif Sopacom'!$I$78</definedName>
    <definedName name="Pont_de_tri_rabattable_55x70">'[1]Tarif Sopacom'!$I$75</definedName>
    <definedName name="Pont_de_tri_rabattable_55x80">'[1]Tarif Sopacom'!$I$77</definedName>
    <definedName name="Porte_de_service_huis_alu_100">'[1]Tarif dagard'!$I$154</definedName>
    <definedName name="Porte_de_service_huis_alu_120">'[1]Tarif dagard'!$I$155</definedName>
    <definedName name="Porte_de_service_huis_alu_160">'[1]Tarif dagard'!$I$156</definedName>
    <definedName name="Porte_de_service_huis_alu_200">'[1]Tarif dagard'!$I$157</definedName>
    <definedName name="Porte_de_service_huis_alu_60">'[1]Tarif dagard'!$I$150</definedName>
    <definedName name="Porte_de_service_huis_alu_70">'[1]Tarif dagard'!$I$151</definedName>
    <definedName name="Porte_de_service_huis_alu_80">'[1]Tarif dagard'!$I$152</definedName>
    <definedName name="Porte_de_service_huis_alu_90">'[1]Tarif dagard'!$I$153</definedName>
    <definedName name="Porte_de_service_huis_inox_100">'[1]Tarif dagard'!$I$163</definedName>
    <definedName name="Porte_de_service_huis_inox_120">'[1]Tarif dagard'!$I$164</definedName>
    <definedName name="Porte_de_service_huis_inox_160">'[1]Tarif dagard'!$I$165</definedName>
    <definedName name="Porte_de_service_huis_inox_200">'[1]Tarif dagard'!$I$166</definedName>
    <definedName name="Porte_de_service_huis_inox_60">'[1]Tarif dagard'!$I$159</definedName>
    <definedName name="Porte_de_service_huis_inox_70">'[1]Tarif dagard'!$I$160</definedName>
    <definedName name="Porte_de_service_huis_inox_80">'[1]Tarif dagard'!$I$161</definedName>
    <definedName name="Porte_de_service_huis_inox_90">'[1]Tarif dagard'!$I$162</definedName>
    <definedName name="Porte_de_service_huis_pvc_100">'[1]Tarif dagard'!$I$145</definedName>
    <definedName name="Porte_de_service_huis_pvc_120">'[1]Tarif dagard'!$I$146</definedName>
    <definedName name="Porte_de_service_huis_pvc_160">'[1]Tarif dagard'!$I$147</definedName>
    <definedName name="Porte_de_service_huis_pvc_200">'[1]Tarif dagard'!$I$148</definedName>
    <definedName name="Porte_de_service_huis_pvc_60">'[1]Tarif dagard'!$I$141</definedName>
    <definedName name="Porte_de_service_huis_pvc_70">'[1]Tarif dagard'!$I$142</definedName>
    <definedName name="Porte_de_service_huis_pvc_80">'[1]Tarif dagard'!$I$143</definedName>
    <definedName name="Porte_de_service_huis_pvc_90">'[1]Tarif dagard'!$I$144</definedName>
    <definedName name="Porte_iso_bat_nég_ep_140_chassis_alu_pu_100">'[1]Tarif dagard'!$I$50</definedName>
    <definedName name="Porte_iso_bat_nég_ep_140_chassis_alu_pu_120">'[1]Tarif dagard'!$I$51</definedName>
    <definedName name="Porte_iso_bat_nég_ep_140_chassis_alu_pu_80">'[1]Tarif dagard'!$I$49</definedName>
    <definedName name="Porte_iso_bat_pos_ep_100_chassis_alu_pu_100">'[1]Tarif dagard'!$I$40</definedName>
    <definedName name="Porte_iso_bat_pos_ep_100_chassis_alu_pu_100_avec_oculus">'[1]Tarif dagard'!$I$67</definedName>
    <definedName name="Porte_iso_bat_pos_ep_100_chassis_alu_pu_120">'[1]Tarif dagard'!$I$41</definedName>
    <definedName name="Porte_iso_bat_pos_ep_100_chassis_alu_pu_120_avec_oculus">'[1]Tarif dagard'!$I$68</definedName>
    <definedName name="Porte_iso_bat_pos_ep_100_chassis_alu_pu_62">'[1]Tarif dagard'!$I$38</definedName>
    <definedName name="Porte_iso_bat_pos_ep_100_chassis_alu_pu_62_avec_oculus">'[1]Tarif dagard'!$I$65</definedName>
    <definedName name="Porte_iso_bat_pos_ep_100_chassis_alu_pu_80">'[1]Tarif dagard'!$I$39</definedName>
    <definedName name="Porte_iso_bat_pos_ep_100_chassis_alu_pu_80_avec_oculus">'[1]Tarif dagard'!$I$66</definedName>
    <definedName name="Porte_iso_coul_pos_ep_100_chassis_alu_pu_120">'[1]Tarif dagard'!$I$77</definedName>
    <definedName name="Porte_iso_coul_pos_ep_100_chassis_alu_pu_120_avec_oculus">'[1]Tarif dagard'!$I$100</definedName>
    <definedName name="Porte_iso_coul_pos_ep_100_chassis_alu_pu_140">'[1]Tarif dagard'!$I$78</definedName>
    <definedName name="Porte_iso_coul_pos_ep_100_chassis_alu_pu_140_avec_oculus">'[1]Tarif dagard'!$I$101</definedName>
    <definedName name="Porte_iso_coul_pos_ep_100_chassis_alu_pu_95">'[1]Tarif dagard'!$I$76</definedName>
    <definedName name="Porte_iso_coul_pos_ep_100_chassis_alu_pu_95_avec_oculus">'[1]Tarif dagard'!$I$99</definedName>
    <definedName name="Porte_va_et_vient_huis_alu_100">'[1]Tarif dagard'!$I$170</definedName>
    <definedName name="Porte_va_et_vient_huis_alu_120">'[1]Tarif dagard'!$I$171</definedName>
    <definedName name="Porte_va_et_vient_huis_alu_140">'[1]Tarif dagard'!$I$172</definedName>
    <definedName name="Porte_va_et_vient_huis_alu_180">'[1]Tarif dagard'!$I$174</definedName>
    <definedName name="Porte_va_et_vient_huis_alu_200">'[1]Tarif dagard'!$I$175</definedName>
    <definedName name="Porte_va_et_vient_huis_alu_260">'[1]Tarif dagard'!$I$173</definedName>
    <definedName name="Porte_va_et_vient_huis_alu_80">'[1]Tarif dagard'!$I$168</definedName>
    <definedName name="Porte_va_et_vient_huis_alu_90">'[1]Tarif dagard'!$I$169</definedName>
    <definedName name="Porte_va_et_vient_huis_inox_100">'[1]Tarif dagard'!$I$179</definedName>
    <definedName name="Porte_va_et_vient_huis_inox_120">'[1]Tarif dagard'!$I$180</definedName>
    <definedName name="Porte_va_et_vient_huis_inox_140">'[1]Tarif dagard'!$I$181</definedName>
    <definedName name="Porte_va_et_vient_huis_inox_160">'[1]Tarif dagard'!$I$182</definedName>
    <definedName name="Porte_va_et_vient_huis_inox_180">'[1]Tarif dagard'!$I$183</definedName>
    <definedName name="Porte_va_et_vient_huis_inox_200">'[1]Tarif dagard'!$I$184</definedName>
    <definedName name="Porte_va_et_vient_huis_inox_80">'[1]Tarif dagard'!$I$177</definedName>
    <definedName name="Porte_va_et_vient_huis_inox_90">'[1]Tarif dagard'!$I$178</definedName>
    <definedName name="Portillon_technique_41x41">'[1]Tarif dagard'!$I$211</definedName>
    <definedName name="Portillon_technique_51x51">'[1]Tarif dagard'!$I$212</definedName>
    <definedName name="Portillon_technique_61x61">'[1]Tarif dagard'!$I$213</definedName>
    <definedName name="Portillon_technique_81x81">'[1]Tarif dagard'!$I$214</definedName>
    <definedName name="Présentoir_mural_3_gn_1_3">'[1]Tarif Tournus'!$I$766</definedName>
    <definedName name="Présentoir_mural_6_gn_1_3">'[1]Tarif Tournus'!$I$767</definedName>
    <definedName name="Profil_en_U_pour_inox_cloison_ep_140">'[1]Tarif dagard'!$I$191</definedName>
    <definedName name="Protection_tubulaire_2_potelets_ht_70">'[1]Tarif dagard'!$I$219</definedName>
    <definedName name="protection_tubulaire_potelet___arceau_160">'[1]Tarif dagard'!$I$220</definedName>
    <definedName name="Rayonnage_fixe_dural_prof_40_3_niv_long_1092">'[1]Tarif Tournus'!$I$839</definedName>
    <definedName name="Rayonnage_fixe_dural_prof_40_3_niv_long_1192">'[1]Tarif Tournus'!$I$840</definedName>
    <definedName name="Rayonnage_fixe_dural_prof_40_3_niv_long_690">'[1]Tarif Tournus'!$I$835</definedName>
    <definedName name="Rayonnage_fixe_dural_prof_40_3_niv_long_790">'[1]Tarif Tournus'!$I$836</definedName>
    <definedName name="Rayonnage_fixe_dural_prof_40_3_niv_long_890">'[1]Tarif Tournus'!$I$837</definedName>
    <definedName name="Rayonnage_fixe_dural_prof_40_3_niv_long_992">'[1]Tarif Tournus'!$I$838</definedName>
    <definedName name="Rayonnage_fixe_dural_prof_40_4_niv_long_1092">'[1]Tarif Tournus'!$I$845</definedName>
    <definedName name="Rayonnage_fixe_dural_prof_40_4_niv_long_1192">'[1]Tarif Tournus'!$I$846</definedName>
    <definedName name="Rayonnage_fixe_dural_prof_40_4_niv_long_690">'[1]Tarif Tournus'!$I$841</definedName>
    <definedName name="Rayonnage_fixe_dural_prof_40_4_niv_long_790">'[1]Tarif Tournus'!$I$842</definedName>
    <definedName name="Rayonnage_fixe_dural_prof_40_4_niv_long_890">'[1]Tarif Tournus'!$I$843</definedName>
    <definedName name="Rayonnage_fixe_dural_prof_40_4_niv_long_992">'[1]Tarif Tournus'!$I$844</definedName>
    <definedName name="Rayonnage_fixe_dural_prof_40_5_niv_long_1092">'[1]Tarif Tournus'!$I$851</definedName>
    <definedName name="Rayonnage_fixe_dural_prof_40_5_niv_long_1192">'[1]Tarif Tournus'!$I$852</definedName>
    <definedName name="Rayonnage_fixe_dural_prof_40_5_niv_long_690">'[1]Tarif Tournus'!$I$847</definedName>
    <definedName name="Rayonnage_fixe_dural_prof_40_5_niv_long_790">'[1]Tarif Tournus'!$I$848</definedName>
    <definedName name="Rayonnage_fixe_dural_prof_40_5_niv_long_890">'[1]Tarif Tournus'!$I$849</definedName>
    <definedName name="Rayonnage_fixe_dural_prof_40_5_niv_long_992">'[1]Tarif Tournus'!$I$850</definedName>
    <definedName name="Rayonnage_fixe_poly_prof_40_3_niv_long_1092">'[1]Tarif Tournus'!$I$778</definedName>
    <definedName name="Rayonnage_fixe_poly_prof_40_3_niv_long_1192">'[1]Tarif Tournus'!$I$779</definedName>
    <definedName name="Rayonnage_fixe_poly_prof_40_3_niv_long_690">'[1]Tarif Tournus'!$I$774</definedName>
    <definedName name="Rayonnage_fixe_poly_prof_40_3_niv_long_790">'[1]Tarif Tournus'!$I$775</definedName>
    <definedName name="Rayonnage_fixe_poly_prof_40_3_niv_long_890">'[1]Tarif Tournus'!$I$776</definedName>
    <definedName name="Rayonnage_fixe_poly_prof_40_3_niv_long_992">'[1]Tarif Tournus'!$I$777</definedName>
    <definedName name="Rayonnage_fixe_poly_prof_40_4_niv_long_1092">'[1]Tarif Tournus'!$I$784</definedName>
    <definedName name="Rayonnage_fixe_poly_prof_40_4_niv_long_1192">'[1]Tarif Tournus'!$I$785</definedName>
    <definedName name="Rayonnage_fixe_poly_prof_40_4_niv_long_690">'[1]Tarif Tournus'!$I$780</definedName>
    <definedName name="Rayonnage_fixe_poly_prof_40_4_niv_long_790">'[1]Tarif Tournus'!$I$781</definedName>
    <definedName name="Rayonnage_fixe_poly_prof_40_4_niv_long_890">'[1]Tarif Tournus'!$I$782</definedName>
    <definedName name="Rayonnage_fixe_poly_prof_40_4_niv_long_992">'[1]Tarif Tournus'!$I$783</definedName>
    <definedName name="Rayonnage_fixe_poly_prof_40_5_niv_long_1092">'[1]Tarif Tournus'!$I$790</definedName>
    <definedName name="Rayonnage_fixe_poly_prof_40_5_niv_long_1192">'[1]Tarif Tournus'!$I$791</definedName>
    <definedName name="Rayonnage_fixe_poly_prof_40_5_niv_long_690">'[1]Tarif Tournus'!$I$786</definedName>
    <definedName name="Rayonnage_fixe_poly_prof_40_5_niv_long_790">'[1]Tarif Tournus'!$I$787</definedName>
    <definedName name="Rayonnage_fixe_poly_prof_40_5_niv_long_890">'[1]Tarif Tournus'!$I$788</definedName>
    <definedName name="Rayonnage_fixe_poly_prof_40_5_niv_long_992">'[1]Tarif Tournus'!$I$789</definedName>
    <definedName name="Rayonnage_mobile_dural_prof_50_3_niv_long_1092">'[1]Tarif Tournus'!$I$858</definedName>
    <definedName name="Rayonnage_mobile_dural_prof_50_3_niv_long_1192">'[1]Tarif Tournus'!$I$859</definedName>
    <definedName name="Rayonnage_mobile_dural_prof_50_3_niv_long_690">'[1]Tarif Tournus'!$I$854</definedName>
    <definedName name="Rayonnage_mobile_dural_prof_50_3_niv_long_790">'[1]Tarif Tournus'!$I$855</definedName>
    <definedName name="Rayonnage_mobile_dural_prof_50_3_niv_long_890">'[1]Tarif Tournus'!$I$856</definedName>
    <definedName name="Rayonnage_mobile_dural_prof_50_3_niv_long_992">'[1]Tarif Tournus'!$I$857</definedName>
    <definedName name="Rayonnage_mobile_dural_prof_50_4_niv_long_1092">'[1]Tarif Tournus'!$I$864</definedName>
    <definedName name="Rayonnage_mobile_dural_prof_50_4_niv_long_1192">'[1]Tarif Tournus'!$I$865</definedName>
    <definedName name="Rayonnage_mobile_dural_prof_50_4_niv_long_690">'[1]Tarif Tournus'!$I$860</definedName>
    <definedName name="Rayonnage_mobile_dural_prof_50_4_niv_long_790">'[1]Tarif Tournus'!$I$861</definedName>
    <definedName name="Rayonnage_mobile_dural_prof_50_4_niv_long_890">'[1]Tarif Tournus'!$I$862</definedName>
    <definedName name="Rayonnage_mobile_dural_prof_50_4_niv_long_992">'[1]Tarif Tournus'!$I$863</definedName>
    <definedName name="Rayonnage_mobile_dural_prof_50_5_niv_long_1092">'[1]Tarif Tournus'!$I$870</definedName>
    <definedName name="Rayonnage_mobile_dural_prof_50_5_niv_long_1192">'[1]Tarif Tournus'!$I$871</definedName>
    <definedName name="Rayonnage_mobile_dural_prof_50_5_niv_long_690">'[1]Tarif Tournus'!$I$866</definedName>
    <definedName name="Rayonnage_mobile_dural_prof_50_5_niv_long_790">'[1]Tarif Tournus'!$I$867</definedName>
    <definedName name="Rayonnage_mobile_dural_prof_50_5_niv_long_890">'[1]Tarif Tournus'!$I$868</definedName>
    <definedName name="Rayonnage_mobile_dural_prof_50_5_niv_long_992">'[1]Tarif Tournus'!$I$869</definedName>
    <definedName name="Rayonnage_mobile_dural_prof_56_3_niv_long_1092">'[1]Tarif Tournus'!$I$877</definedName>
    <definedName name="Rayonnage_mobile_dural_prof_56_3_niv_long_1192">'[1]Tarif Tournus'!$I$878</definedName>
    <definedName name="Rayonnage_mobile_dural_prof_56_3_niv_long_690">'[1]Tarif Tournus'!$I$873</definedName>
    <definedName name="Rayonnage_mobile_dural_prof_56_3_niv_long_790">'[1]Tarif Tournus'!$I$874</definedName>
    <definedName name="Rayonnage_mobile_dural_prof_56_3_niv_long_890">'[1]Tarif Tournus'!$I$875</definedName>
    <definedName name="Rayonnage_mobile_dural_prof_56_3_niv_long_992">'[1]Tarif Tournus'!$I$876</definedName>
    <definedName name="Rayonnage_mobile_dural_prof_56_4_niv_long_1092">'[1]Tarif Tournus'!$I$883</definedName>
    <definedName name="Rayonnage_mobile_dural_prof_56_4_niv_long_1192">'[1]Tarif Tournus'!$I$884</definedName>
    <definedName name="Rayonnage_mobile_dural_prof_56_4_niv_long_690">'[1]Tarif Tournus'!$I$879</definedName>
    <definedName name="Rayonnage_mobile_dural_prof_56_4_niv_long_790">'[1]Tarif Tournus'!$I$880</definedName>
    <definedName name="Rayonnage_mobile_dural_prof_56_4_niv_long_890">'[1]Tarif Tournus'!$I$881</definedName>
    <definedName name="Rayonnage_mobile_dural_prof_56_4_niv_long_992">'[1]Tarif Tournus'!$I$882</definedName>
    <definedName name="Rayonnage_mobile_dural_prof_56_5_niv_long_1092">'[1]Tarif Tournus'!$I$889</definedName>
    <definedName name="Rayonnage_mobile_dural_prof_56_5_niv_long_1192">'[1]Tarif Tournus'!$I$890</definedName>
    <definedName name="Rayonnage_mobile_dural_prof_56_5_niv_long_690">'[1]Tarif Tournus'!$I$885</definedName>
    <definedName name="Rayonnage_mobile_dural_prof_56_5_niv_long_790">'[1]Tarif Tournus'!$I$886</definedName>
    <definedName name="Rayonnage_mobile_dural_prof_56_5_niv_long_890">'[1]Tarif Tournus'!$I$887</definedName>
    <definedName name="Rayonnage_mobile_dural_prof_56_5_niv_long_992">'[1]Tarif Tournus'!$I$888</definedName>
    <definedName name="Rayonnage_mobile_poly_prof_50_3_niv_long_1092">'[1]Tarif Tournus'!$I$797</definedName>
    <definedName name="Rayonnage_mobile_poly_prof_50_3_niv_long_1192">'[1]Tarif Tournus'!$I$798</definedName>
    <definedName name="Rayonnage_mobile_poly_prof_50_3_niv_long_690">'[1]Tarif Tournus'!$I$793</definedName>
    <definedName name="Rayonnage_mobile_poly_prof_50_3_niv_long_790">'[1]Tarif Tournus'!$I$794</definedName>
    <definedName name="Rayonnage_mobile_poly_prof_50_3_niv_long_890">'[1]Tarif Tournus'!$I$795</definedName>
    <definedName name="Rayonnage_mobile_poly_prof_50_3_niv_long_992">'[1]Tarif Tournus'!$I$796</definedName>
    <definedName name="Rayonnage_mobile_poly_prof_50_4_niv_long_1092">'[1]Tarif Tournus'!$I$803</definedName>
    <definedName name="Rayonnage_mobile_poly_prof_50_4_niv_long_1192">'[1]Tarif Tournus'!$I$804</definedName>
    <definedName name="Rayonnage_mobile_poly_prof_50_4_niv_long_690">'[1]Tarif Tournus'!$I$799</definedName>
    <definedName name="Rayonnage_mobile_poly_prof_50_4_niv_long_790">'[1]Tarif Tournus'!$I$800</definedName>
    <definedName name="Rayonnage_mobile_poly_prof_50_4_niv_long_890">'[1]Tarif Tournus'!$I$801</definedName>
    <definedName name="Rayonnage_mobile_poly_prof_50_4_niv_long_992">'[1]Tarif Tournus'!$I$802</definedName>
    <definedName name="Rayonnage_mobile_poly_prof_50_5_niv_long_1092">'[1]Tarif Tournus'!$I$809</definedName>
    <definedName name="Rayonnage_mobile_poly_prof_50_5_niv_long_1192">'[1]Tarif Tournus'!$I$810</definedName>
    <definedName name="Rayonnage_mobile_poly_prof_50_5_niv_long_690">'[1]Tarif Tournus'!$I$805</definedName>
    <definedName name="Rayonnage_mobile_poly_prof_50_5_niv_long_790">'[1]Tarif Tournus'!$I$806</definedName>
    <definedName name="Rayonnage_mobile_poly_prof_50_5_niv_long_890">'[1]Tarif Tournus'!$I$807</definedName>
    <definedName name="Rayonnage_mobile_poly_prof_50_5_niv_long_992">'[1]Tarif Tournus'!$I$808</definedName>
    <definedName name="Rayonnage_mobile_poly_prof_56_3_niv_long_1092">'[1]Tarif Tournus'!$I$816</definedName>
    <definedName name="Rayonnage_mobile_poly_prof_56_3_niv_long_1192">'[1]Tarif Tournus'!$I$817</definedName>
    <definedName name="Rayonnage_mobile_poly_prof_56_3_niv_long_690">'[1]Tarif Tournus'!$I$812</definedName>
    <definedName name="Rayonnage_mobile_poly_prof_56_3_niv_long_790">'[1]Tarif Tournus'!$I$813</definedName>
    <definedName name="Rayonnage_mobile_poly_prof_56_3_niv_long_890">'[1]Tarif Tournus'!$I$814</definedName>
    <definedName name="Rayonnage_mobile_poly_prof_56_3_niv_long_992">'[1]Tarif Tournus'!$I$815</definedName>
    <definedName name="Rayonnage_mobile_poly_prof_56_4_niv_long_1092">'[1]Tarif Tournus'!$I$822</definedName>
    <definedName name="Rayonnage_mobile_poly_prof_56_4_niv_long_1192">'[1]Tarif Tournus'!$I$823</definedName>
    <definedName name="Rayonnage_mobile_poly_prof_56_4_niv_long_690">'[1]Tarif Tournus'!$I$818</definedName>
    <definedName name="Rayonnage_mobile_poly_prof_56_4_niv_long_790">'[1]Tarif Tournus'!$I$819</definedName>
    <definedName name="Rayonnage_mobile_poly_prof_56_4_niv_long_890">'[1]Tarif Tournus'!$I$820</definedName>
    <definedName name="Rayonnage_mobile_poly_prof_56_4_niv_long_992">'[1]Tarif Tournus'!$I$821</definedName>
    <definedName name="Rayonnage_mobile_poly_prof_56_5_niv_long_1092">'[1]Tarif Tournus'!$I$828</definedName>
    <definedName name="Rayonnage_mobile_poly_prof_56_5_niv_long_1192">'[1]Tarif Tournus'!$I$829</definedName>
    <definedName name="Rayonnage_mobile_poly_prof_56_5_niv_long_690">'[1]Tarif Tournus'!$I$824</definedName>
    <definedName name="Rayonnage_mobile_poly_prof_56_5_niv_long_790">'[1]Tarif Tournus'!$I$825</definedName>
    <definedName name="Rayonnage_mobile_poly_prof_56_5_niv_long_890">'[1]Tarif Tournus'!$I$826</definedName>
    <definedName name="Rayonnage_mobile_poly_prof_56_5_niv_long_992">'[1]Tarif Tournus'!$I$827</definedName>
    <definedName name="Rehausse_pour_ss_plastique">'[1]Tarif divers'!$I$41</definedName>
    <definedName name="Siphon_de_sol_plast_15x15">'[1]Tarif divers'!$I$39</definedName>
    <definedName name="siphon_laiton">'[1]Tarif Tournus'!$I$282</definedName>
    <definedName name="siphon_tel_tamis_20x20">'[1]Tarif divers'!$I$19</definedName>
    <definedName name="sol_isotherme_épais_140">'[1]Tarif dagard'!$I$26</definedName>
    <definedName name="SOPACOM_1">'[1]Liste équipements base'!$F$2136</definedName>
    <definedName name="Sophon_tel_panier_20x20">'[1]Tarif divers'!$I$20</definedName>
    <definedName name="Support_sacs_poubelle_à_pince_haut_96_110_litres">'[1]Tarif Bourgeat'!$I$219</definedName>
    <definedName name="Table_à_rouleaux_bac_prélavage">'[1]Tarif Sopacom'!$I$53</definedName>
    <definedName name="Table_à_rouleaux_entrée_machine_ml">'[1]Tarif Sopacom'!$I$50</definedName>
    <definedName name="Table_à_rouleaux_panier_déchets">'[1]Tarif Sopacom'!$I$54</definedName>
    <definedName name="Table_à_rouleaux_plage_arrière_avec_dosseret">'[1]Tarif Sopacom'!$I$52</definedName>
    <definedName name="Table_à_rouleaux_robinetterie_avec_douchette_et_col_de_cygne">'[1]Tarif Sopacom'!$I$55</definedName>
    <definedName name="Table_à_rouleaux_sortie_machine_ml">'[1]Tarif Sopacom'!$I$51</definedName>
    <definedName name="Table_de_tri_adossée_larg_70cm_ml">'[1]Tarif Sopacom'!$I$16</definedName>
    <definedName name="Table_de_tri_adossée_larg_80cm_ml">'[1]Tarif Sopacom'!$I$20</definedName>
    <definedName name="Table_de_tri_adossée_larg_90cm_ml">'[1]Tarif Sopacom'!$I$24</definedName>
    <definedName name="Table_de_tri_centrale_larg_110cm_165">'[1]Tarif Sopacom'!$I$5</definedName>
    <definedName name="Table_de_tri_centrale_larg_110cm_215">'[1]Tarif Sopacom'!$I$6</definedName>
    <definedName name="Table_de_tri_centrale_larg_110cm_265">'[1]Tarif Sopacom'!$I$7</definedName>
    <definedName name="Table_de_tri_centrale_larg_110cm_ml">'[1]Tarif Sopacom'!$I$4</definedName>
    <definedName name="Table_de_tri_décaissé_casier_couverts">'[1]Tarif Sopacom'!$I$11</definedName>
    <definedName name="Table_de_tri_décaissé_casier_verres">'[1]Tarif Sopacom'!$I$10</definedName>
    <definedName name="Table_de_tri_étagère_double_face">'[1]Tarif Sopacom'!$I$12</definedName>
    <definedName name="Table_de_tri_étagère_double_face_avec_stockage">'[1]Tarif Sopacom'!$I$13</definedName>
    <definedName name="Table_de_tri_goulotte_couverts">'[1]Tarif Sopacom'!$I$9</definedName>
    <definedName name="Table_de_tri_mobile_110x60">'[1]Tarif Sopacom'!$I$83</definedName>
    <definedName name="Table_de_tri_mobile_60x60">'[1]Tarif Sopacom'!$I$82</definedName>
    <definedName name="Table_de_tri_tvo_avec_collerette">'[1]Tarif Sopacom'!#REF!</definedName>
    <definedName name="Table_de_tri_tvo_avec_collerette_encastrée">'[1]Tarif Sopacom'!$I$8</definedName>
    <definedName name="Table_inox_adossée_sur_pieds_prof_70_avec_bac_long_100">'[1]Tarif Tournus'!$I$241</definedName>
    <definedName name="Table_inox_adossée_sur_pieds_prof_70_avec_bac_long_120">'[1]Tarif Tournus'!$I$242</definedName>
    <definedName name="Table_inox_adossée_sur_pieds_prof_70_avec_bac_long_140">'[1]Tarif Tournus'!$I$243</definedName>
    <definedName name="Table_inox_adossée_sur_pieds_prof_70_avec_bac_long_150">'[1]Tarif Tournus'!$I$244</definedName>
    <definedName name="Table_inox_adossée_sur_pieds_prof_70_avec_bac_long_160">'[1]Tarif Tournus'!$I$245</definedName>
    <definedName name="Table_inox_adossée_sur_pieds_prof_70_avec_bac_long_180">'[1]Tarif Tournus'!$I$246</definedName>
    <definedName name="Table_inox_adossée_sur_pieds_prof_70_avec_bac_long_200">'[1]Tarif Tournus'!$I$247</definedName>
    <definedName name="Table_inox_adossée_sur_pieds_prof_70_avec_bac_long_70">'[1]Tarif Tournus'!$I$240</definedName>
    <definedName name="Table_inox_de_dressage_avec_étagère_support_bacs_long_160">'[1]Tarif Tournus'!$I$293</definedName>
    <definedName name="Table_inox_mobile_prof_60_long_100">'[1]Tarif Tournus'!$I$201</definedName>
    <definedName name="Table_inox_mobile_prof_60_long_120">'[1]Tarif Tournus'!$I$202</definedName>
    <definedName name="Table_inox_mobile_prof_60_long_140">'[1]Tarif Tournus'!$I$203</definedName>
    <definedName name="Table_inox_mobile_prof_60_long_160">'[1]Tarif Tournus'!$I$204</definedName>
    <definedName name="Table_inox_mobile_prof_60_long_180">'[1]Tarif Tournus'!$I$205</definedName>
    <definedName name="Table_inox_mobile_prof_60_long_200">'[1]Tarif Tournus'!$I$206</definedName>
    <definedName name="Table_inox_mobile_prof_60_long_60">'[1]Tarif Tournus'!$I$200</definedName>
    <definedName name="Table_inox_mobile_prof_70_long_100">'[1]Tarif Tournus'!$I$208</definedName>
    <definedName name="Table_inox_mobile_prof_70_long_120">'[1]Tarif Tournus'!$I$209</definedName>
    <definedName name="Table_inox_mobile_prof_70_long_140">'[1]Tarif Tournus'!$I$210</definedName>
    <definedName name="Table_inox_mobile_prof_70_long_150">'[1]Tarif Tournus'!$I$211</definedName>
    <definedName name="Table_inox_mobile_prof_70_long_160">'[1]Tarif Tournus'!$I$212</definedName>
    <definedName name="Table_inox_mobile_prof_70_long_180">'[1]Tarif Tournus'!$I$213</definedName>
    <definedName name="Table_inox_mobile_prof_70_long_200">'[1]Tarif Tournus'!$I$214</definedName>
    <definedName name="Table_inox_mobile_prof_70_long_220">'[1]Tarif Tournus'!$I$215</definedName>
    <definedName name="Table_inox_mobile_prof_70_long_240">'[1]Tarif Tournus'!$I$216</definedName>
    <definedName name="Table_inox_mobile_prof_80_long_100">'[1]Tarif Tournus'!$I$218</definedName>
    <definedName name="Table_inox_mobile_prof_80_long_120">'[1]Tarif Tournus'!$I$219</definedName>
    <definedName name="Table_inox_mobile_prof_80_long_140">'[1]Tarif Tournus'!$I$220</definedName>
    <definedName name="Table_inox_mobile_prof_80_long_160">'[1]Tarif Tournus'!$I$221</definedName>
    <definedName name="Table_inox_mobile_prof_80_long_180">'[1]Tarif Tournus'!$I$222</definedName>
    <definedName name="Table_inox_mobile_prof_80_long_200">'[1]Tarif Tournus'!$I$223</definedName>
    <definedName name="Table_inox_sur_pieds_adossée_prof_60_long_100">'[1]Tarif Tournus'!$I$135</definedName>
    <definedName name="Table_inox_sur_pieds_adossée_prof_60_long_120">'[1]Tarif Tournus'!$I$136</definedName>
    <definedName name="Table_inox_sur_pieds_adossée_prof_60_long_140">'[1]Tarif Tournus'!$I$137</definedName>
    <definedName name="Table_inox_sur_pieds_adossée_prof_60_long_160">'[1]Tarif Tournus'!$I$138</definedName>
    <definedName name="Table_inox_sur_pieds_adossée_prof_60_long_180">'[1]Tarif Tournus'!$I$139</definedName>
    <definedName name="Table_inox_sur_pieds_adossée_prof_60_long_200">'[1]Tarif Tournus'!$I$140</definedName>
    <definedName name="Table_inox_sur_pieds_adossée_prof_60_long_60">'[1]Tarif Tournus'!$I$134</definedName>
    <definedName name="Table_inox_sur_pieds_adossée_prof_70_long_100">'[1]Tarif Tournus'!$I$145</definedName>
    <definedName name="Table_inox_sur_pieds_adossée_prof_70_long_120">'[1]Tarif Tournus'!$I$146</definedName>
    <definedName name="Table_inox_sur_pieds_adossée_prof_70_long_140">'[1]Tarif Tournus'!$I$147</definedName>
    <definedName name="Table_inox_sur_pieds_adossée_prof_70_long_150">'[1]Tarif Tournus'!$I$148</definedName>
    <definedName name="Table_inox_sur_pieds_adossée_prof_70_long_160">'[1]Tarif Tournus'!$I$149</definedName>
    <definedName name="Table_inox_sur_pieds_adossée_prof_70_long_180">'[1]Tarif Tournus'!$I$150</definedName>
    <definedName name="Table_inox_sur_pieds_adossée_prof_70_long_200">'[1]Tarif Tournus'!$I$151</definedName>
    <definedName name="Table_inox_sur_pieds_adossée_prof_70_long_220">'[1]Tarif Tournus'!$I$152</definedName>
    <definedName name="Table_inox_sur_pieds_adossée_prof_70_long_240">'[1]Tarif Tournus'!$I$153</definedName>
    <definedName name="Table_inox_sur_pieds_adossée_prof_70_long_70">'[1]Tarif Tournus'!$I$144</definedName>
    <definedName name="Table_inox_sur_pieds_adossée_prof_80_long_100">'[1]Tarif Tournus'!$I$157</definedName>
    <definedName name="Table_inox_sur_pieds_adossée_prof_80_long_120">'[1]Tarif Tournus'!$I$158</definedName>
    <definedName name="Table_inox_sur_pieds_adossée_prof_80_long_140">'[1]Tarif Tournus'!$I$159</definedName>
    <definedName name="Table_inox_sur_pieds_adossée_prof_80_long_160">'[1]Tarif Tournus'!$I$160</definedName>
    <definedName name="Table_inox_sur_pieds_adossée_prof_80_long_180">'[1]Tarif Tournus'!$I$161</definedName>
    <definedName name="Table_inox_sur_pieds_adossée_prof_80_long_200">'[1]Tarif Tournus'!$I$162</definedName>
    <definedName name="Table_inox_suspendue_avec_bac_long_100">'[1]Tarif Tournus'!$I$261</definedName>
    <definedName name="Table_inox_suspendue_avec_bac_long_120">'[1]Tarif Tournus'!$I$262</definedName>
    <definedName name="Table_inox_suspendue_avec_bac_long_140">'[1]Tarif Tournus'!$I$263</definedName>
    <definedName name="Table_inox_suspendue_avec_bac_long_160">'[1]Tarif Tournus'!$I$264</definedName>
    <definedName name="Table_inox_suspendue_avec_bac_long_180">'[1]Tarif Tournus'!$I$265</definedName>
    <definedName name="Table_inox_suspendue_avec_bac_long_200">'[1]Tarif Tournus'!$I$266</definedName>
    <definedName name="Table_inox_suspendue_long_100">'[1]Tarif Tournus'!$I$253</definedName>
    <definedName name="Table_inox_suspendue_long_120">'[1]Tarif Tournus'!$I$254</definedName>
    <definedName name="Table_inox_suspendue_long_140">'[1]Tarif Tournus'!$I$255</definedName>
    <definedName name="Table_inox_suspendue_long_160">'[1]Tarif Tournus'!$I$256</definedName>
    <definedName name="Table_inox_suspendue_long_180">'[1]Tarif Tournus'!$I$257</definedName>
    <definedName name="Table_inox_suspendue_long_200">'[1]Tarif Tournus'!$I$258</definedName>
    <definedName name="Table_inox_suspendue_long_220">'[1]Tarif Tournus'!$I$259</definedName>
    <definedName name="Table_lisse_bac_prélavage">'[1]Tarif Sopacom'!$I$35</definedName>
    <definedName name="Table_lisse_clayette_basse_ml">'[1]Tarif Sopacom'!$I$41</definedName>
    <definedName name="Table_lisse_douchette_sur_enrouleur_2m">'[1]Tarif Sopacom'!$I$38</definedName>
    <definedName name="Table_lisse_douchette_sur_enrouleur_3m">'[1]Tarif Sopacom'!$I$39</definedName>
    <definedName name="Table_lisse_entrée_avec_bac_long_115">'[1]Tarif Sopacom'!$I$43</definedName>
    <definedName name="Table_lisse_entrée_avec_bac_long_210">'[1]Tarif Sopacom'!$I$44</definedName>
    <definedName name="Table_lisse_entrée_avec_bac_long_65">'[1]Tarif Sopacom'!$I$42</definedName>
    <definedName name="Table_lisse_entrée_machine_ml">'[1]Tarif Sopacom'!$I$31</definedName>
    <definedName name="Table_lisse_étagère_masse_ml">'[1]Tarif Sopacom'!$I$40</definedName>
    <definedName name="Table_lisse_panier_déchets">'[1]Tarif Sopacom'!$I$36</definedName>
    <definedName name="Table_lisse_plage_arrière_avec_dosseret">'[1]Tarif Sopacom'!$I$34</definedName>
    <definedName name="Table_lisse_robinetterie_avec_douchette_et_col_de_cygne">'[1]Tarif Sopacom'!$I$37</definedName>
    <definedName name="Table_lisse_sortie_long_115">'[1]Tarif Sopacom'!$I$46</definedName>
    <definedName name="Table_lisse_sortie_long_210">'[1]Tarif Sopacom'!$I$47</definedName>
    <definedName name="Table_lisse_sortie_long_65">'[1]Tarif Sopacom'!$I$45</definedName>
    <definedName name="Table_lisse_sortie_machine_ml">'[1]Tarif Sopacom'!$I$32</definedName>
    <definedName name="Table_mobile_50_x_80_x_85">'[1]Tarif Tournus'!$I$298</definedName>
    <definedName name="Table_mobile_67_x_50_x_75">'[1]Tarif Tournus'!$I$299</definedName>
    <definedName name="Table_réseaux" hidden="1">'[6]Table réseaux'!$A$4:$H$492</definedName>
    <definedName name="Table_sur_pieds_déboîtage_2_GN1_1_120">'[1]Tarif Tournus'!$I$304</definedName>
    <definedName name="Table_sur_pieds_déboîtage_2_GN1_1_150">'[1]Tarif Tournus'!$I$305</definedName>
    <definedName name="Table_sur_pieds_déboîtage_3_GN1_1_180">'[1]Tarif Tournus'!$I$306</definedName>
    <definedName name="Table_suspendue_déboîtage_2_GN1_1_120">'[1]Tarif Tournus'!$I$309</definedName>
    <definedName name="Table_suspendue_déboîtage_2_GN1_1_150">'[1]Tarif Tournus'!$I$310</definedName>
    <definedName name="Table_suspendue_déboîtage_3_GN1_1_180">'[1]Tarif Tournus'!$I$311</definedName>
    <definedName name="Tables_butée_fin_de_course">'[1]Tarif Sopacom'!$I$73</definedName>
    <definedName name="Tables_jonction_machine">'[1]Tarif Sopacom'!$I$72</definedName>
    <definedName name="Température_circuit" hidden="1">#REF!</definedName>
    <definedName name="Tiroir_avec_façade_GN1_1">'[1]Tarif Tournus'!$I$278</definedName>
    <definedName name="Tour_réfrigéré_dessus_inox_2_GN_2_1_avec_groupe">'[1]Tarif friginox'!$I$252</definedName>
    <definedName name="TOURNUS_1">#REF!</definedName>
    <definedName name="Trappe_de_viste_101x101">'[1]Tarif dagard'!$I$218</definedName>
    <definedName name="Trappe_de_viste_71x71">'[1]Tarif dagard'!$I$215</definedName>
    <definedName name="Trappe_de_viste_81x81">'[1]Tarif dagard'!$I$216</definedName>
    <definedName name="Trappe_de_viste_91x91">'[1]Tarif dagard'!$I$217</definedName>
    <definedName name="Trou_vide_déchets_avec_collerette">'[1]Tarif Tournus'!$I$274</definedName>
    <definedName name="Virage_à_rouleaux_45°">'[1]Tarif Sopacom'!$I$66</definedName>
    <definedName name="Virage_à_rouleaux_90°">'[1]Tarif Sopacom'!$I$67</definedName>
    <definedName name="Virage_à_rouleuax_180°">'[1]Tarif Sopacom'!$I$68</definedName>
    <definedName name="Virage_à_rouleuax_180°_compact">'[1]Tarif Sopacom'!$I$69</definedName>
    <definedName name="Virage_mécanisé_90">'[1]Tarif Comenda'!$I$81</definedName>
    <definedName name="Virage_motorisé_180">'[1]Tarif Comenda'!$I$83</definedName>
    <definedName name="Virage_motorisé_90">'[1]Tarif Comenda'!$I$82</definedName>
    <definedName name="W_lave_verres_50x50_hp315_30p_h">'[1]Tarif Wintherhalter'!$I$9</definedName>
    <definedName name="W_lave_verres_50x50_hp315_30p_h_rinçage_à_froid">'[1]Tarif Wintherhalter'!$I$10</definedName>
    <definedName name="W_lave_verres_50x50_rehausse_400">'[1]Tarif Wintherhalter'!$I$14</definedName>
    <definedName name="W_lave_verres_adoucisseur_intégré">'[1]Tarif Wintherhalter'!$I$15</definedName>
    <definedName name="W_machine_à_laver_à_capot_habillage_arrière">'[1]Tarif Wintherhalter'!$I$42</definedName>
    <definedName name="W_machine_à_laver_à_capot_hp420_60à15p_h_EC">'[1]Tarif Wintherhalter'!$I$33</definedName>
    <definedName name="W_machine_à_laver_à_capot_hp420_60à15p_h_RC">'[1]Tarif Wintherhalter'!$I$35</definedName>
    <definedName name="W_machine_à_laver_à_capot_hp420_60à15p_h_RCE">'[1]Tarif Wintherhalter'!$I$36</definedName>
    <definedName name="W_machine_à_laver_à_capot_hp440_70à15p_h_EC">'[1]Tarif Wintherhalter'!$I$37</definedName>
    <definedName name="W_machine_à_laver_à_capot_hp440_70à15p_h_RC">'[1]Tarif Wintherhalter'!$I$39</definedName>
    <definedName name="W_machine_à_laver_à_capot_hp440_70à15p_h_RCE">'[1]Tarif Wintherhalter'!$I$40</definedName>
    <definedName name="W_machine_à_laver_à_capot_pompe_de_vidange">'[1]Tarif Wintherhalter'!$I$43</definedName>
    <definedName name="W_machine_à_laver_à_capot_version_en_angle">'[1]Tarif Wintherhalter'!$I$41</definedName>
    <definedName name="W_Machine_à_laver_adoucisseur_intégré">'[1]Tarif Wintherhalter'!$I$45</definedName>
    <definedName name="ZONE_IMPRES_MI">#REF!</definedName>
    <definedName name="ZoneCalcul" hidden="1">#REF!</definedName>
    <definedName name="ZoneEntrees" hidden="1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25" i="78" l="1"/>
  <c r="AA26" i="78"/>
  <c r="AA27" i="78"/>
  <c r="AA28" i="78"/>
  <c r="AA29" i="78"/>
  <c r="AA30" i="78"/>
  <c r="AA31" i="78"/>
  <c r="AA32" i="78"/>
  <c r="AA33" i="78"/>
  <c r="AA34" i="78"/>
  <c r="AA35" i="78"/>
  <c r="AA36" i="78"/>
  <c r="AA37" i="78"/>
  <c r="AA38" i="78"/>
  <c r="AA39" i="78"/>
  <c r="AA40" i="78"/>
  <c r="AA41" i="78"/>
  <c r="AA42" i="78"/>
  <c r="AA43" i="78"/>
  <c r="AA44" i="78"/>
  <c r="AA45" i="78"/>
  <c r="AA46" i="78"/>
  <c r="AA47" i="78"/>
  <c r="AA48" i="78"/>
  <c r="AA49" i="78"/>
  <c r="AA50" i="78"/>
  <c r="AA51" i="78"/>
  <c r="AA52" i="78"/>
  <c r="AA53" i="78"/>
  <c r="Z25" i="78"/>
  <c r="Z26" i="78"/>
  <c r="Z27" i="78"/>
  <c r="Z28" i="78"/>
  <c r="Z29" i="78"/>
  <c r="Z30" i="78"/>
  <c r="Z31" i="78"/>
  <c r="Z32" i="78"/>
  <c r="Z33" i="78"/>
  <c r="Z34" i="78"/>
  <c r="Z35" i="78"/>
  <c r="Z36" i="78"/>
  <c r="Z37" i="78"/>
  <c r="Z38" i="78"/>
  <c r="Z39" i="78"/>
  <c r="Z40" i="78"/>
  <c r="Z41" i="78"/>
  <c r="Z42" i="78"/>
  <c r="Z43" i="78"/>
  <c r="Z44" i="78"/>
  <c r="Z45" i="78"/>
  <c r="Z46" i="78"/>
  <c r="Z47" i="78"/>
  <c r="Z48" i="78"/>
  <c r="Z49" i="78"/>
  <c r="Z50" i="78"/>
  <c r="Z51" i="78"/>
  <c r="Z52" i="78"/>
  <c r="Z53" i="78"/>
  <c r="Y15" i="78"/>
  <c r="Y16" i="78"/>
  <c r="Y17" i="78"/>
  <c r="Y18" i="78"/>
  <c r="Y19" i="78"/>
  <c r="Y20" i="78"/>
  <c r="Y21" i="78"/>
  <c r="Y22" i="78"/>
  <c r="Y23" i="78"/>
  <c r="Y24" i="78"/>
  <c r="Y25" i="78"/>
  <c r="Y26" i="78"/>
  <c r="Y27" i="78"/>
  <c r="Y28" i="78"/>
  <c r="Y29" i="78"/>
  <c r="Y30" i="78"/>
  <c r="Y31" i="78"/>
  <c r="Y32" i="78"/>
  <c r="Y33" i="78"/>
  <c r="Y34" i="78"/>
  <c r="Y35" i="78"/>
  <c r="Y36" i="78"/>
  <c r="Y37" i="78"/>
  <c r="Y38" i="78"/>
  <c r="Y39" i="78"/>
  <c r="Y40" i="78"/>
  <c r="Y41" i="78"/>
  <c r="Y42" i="78"/>
  <c r="Y43" i="78"/>
  <c r="Y44" i="78"/>
  <c r="Y45" i="78"/>
  <c r="Y46" i="78"/>
  <c r="Y47" i="78"/>
  <c r="Y48" i="78"/>
  <c r="Y49" i="78"/>
  <c r="Y50" i="78"/>
  <c r="Y51" i="78"/>
  <c r="Y52" i="78"/>
  <c r="Y53" i="78"/>
  <c r="W13" i="78"/>
  <c r="W14" i="78"/>
  <c r="W15" i="78"/>
  <c r="W16" i="78"/>
  <c r="W17" i="78"/>
  <c r="W18" i="78"/>
  <c r="W19" i="78"/>
  <c r="W20" i="78"/>
  <c r="W21" i="78"/>
  <c r="W22" i="78"/>
  <c r="W23" i="78"/>
  <c r="W24" i="78"/>
  <c r="W25" i="78"/>
  <c r="W26" i="78"/>
  <c r="W27" i="78"/>
  <c r="W28" i="78"/>
  <c r="W29" i="78"/>
  <c r="W30" i="78"/>
  <c r="W31" i="78"/>
  <c r="W32" i="78"/>
  <c r="W33" i="78"/>
  <c r="W34" i="78"/>
  <c r="W35" i="78"/>
  <c r="W36" i="78"/>
  <c r="W37" i="78"/>
  <c r="W38" i="78"/>
  <c r="W39" i="78"/>
  <c r="W40" i="78"/>
  <c r="W41" i="78"/>
  <c r="W42" i="78"/>
  <c r="W43" i="78"/>
  <c r="W44" i="78"/>
  <c r="W45" i="78"/>
  <c r="W46" i="78"/>
  <c r="W47" i="78"/>
  <c r="W48" i="78"/>
  <c r="W49" i="78"/>
  <c r="W50" i="78"/>
  <c r="W51" i="78"/>
  <c r="W52" i="78"/>
  <c r="W53" i="78"/>
  <c r="N18" i="78"/>
  <c r="Z18" i="78" s="1"/>
  <c r="N22" i="78"/>
  <c r="N25" i="78"/>
  <c r="N26" i="78"/>
  <c r="N27" i="78"/>
  <c r="N28" i="78"/>
  <c r="N29" i="78"/>
  <c r="N30" i="78"/>
  <c r="N31" i="78"/>
  <c r="N32" i="78"/>
  <c r="N33" i="78"/>
  <c r="N34" i="78"/>
  <c r="N35" i="78"/>
  <c r="N36" i="78"/>
  <c r="N37" i="78"/>
  <c r="N38" i="78"/>
  <c r="N39" i="78"/>
  <c r="N40" i="78"/>
  <c r="N41" i="78"/>
  <c r="N42" i="78"/>
  <c r="N43" i="78"/>
  <c r="N44" i="78"/>
  <c r="N45" i="78"/>
  <c r="N46" i="78"/>
  <c r="N47" i="78"/>
  <c r="N48" i="78"/>
  <c r="N49" i="78"/>
  <c r="N50" i="78"/>
  <c r="N51" i="78"/>
  <c r="N52" i="78"/>
  <c r="N53" i="78"/>
  <c r="M15" i="78"/>
  <c r="K15" i="78" s="1"/>
  <c r="L15" i="78" s="1"/>
  <c r="M16" i="78"/>
  <c r="K16" i="78" s="1"/>
  <c r="L16" i="78" s="1"/>
  <c r="M17" i="78"/>
  <c r="N17" i="78" s="1"/>
  <c r="Z17" i="78" s="1"/>
  <c r="M18" i="78"/>
  <c r="M19" i="78"/>
  <c r="K19" i="78" s="1"/>
  <c r="L19" i="78" s="1"/>
  <c r="M20" i="78"/>
  <c r="K20" i="78" s="1"/>
  <c r="L20" i="78" s="1"/>
  <c r="M21" i="78"/>
  <c r="N21" i="78" s="1"/>
  <c r="M22" i="78"/>
  <c r="K22" i="78" s="1"/>
  <c r="L22" i="78" s="1"/>
  <c r="M23" i="78"/>
  <c r="K23" i="78" s="1"/>
  <c r="L23" i="78" s="1"/>
  <c r="M24" i="78"/>
  <c r="N24" i="78" s="1"/>
  <c r="Z24" i="78" s="1"/>
  <c r="M25" i="78"/>
  <c r="M26" i="78"/>
  <c r="M27" i="78"/>
  <c r="K27" i="78" s="1"/>
  <c r="L27" i="78" s="1"/>
  <c r="M28" i="78"/>
  <c r="K28" i="78" s="1"/>
  <c r="L28" i="78" s="1"/>
  <c r="M29" i="78"/>
  <c r="K29" i="78" s="1"/>
  <c r="L29" i="78" s="1"/>
  <c r="M30" i="78"/>
  <c r="M31" i="78"/>
  <c r="M32" i="78"/>
  <c r="M33" i="78"/>
  <c r="M34" i="78"/>
  <c r="K34" i="78" s="1"/>
  <c r="L34" i="78" s="1"/>
  <c r="M35" i="78"/>
  <c r="M36" i="78"/>
  <c r="K36" i="78" s="1"/>
  <c r="L36" i="78" s="1"/>
  <c r="M37" i="78"/>
  <c r="K37" i="78" s="1"/>
  <c r="L37" i="78" s="1"/>
  <c r="M38" i="78"/>
  <c r="M39" i="78"/>
  <c r="M40" i="78"/>
  <c r="M41" i="78"/>
  <c r="K41" i="78" s="1"/>
  <c r="L41" i="78" s="1"/>
  <c r="M42" i="78"/>
  <c r="K42" i="78" s="1"/>
  <c r="L42" i="78" s="1"/>
  <c r="M43" i="78"/>
  <c r="K43" i="78" s="1"/>
  <c r="L43" i="78" s="1"/>
  <c r="M44" i="78"/>
  <c r="M45" i="78"/>
  <c r="M46" i="78"/>
  <c r="M47" i="78"/>
  <c r="M48" i="78"/>
  <c r="K48" i="78" s="1"/>
  <c r="L48" i="78" s="1"/>
  <c r="M49" i="78"/>
  <c r="M50" i="78"/>
  <c r="K50" i="78" s="1"/>
  <c r="L50" i="78" s="1"/>
  <c r="M51" i="78"/>
  <c r="K51" i="78" s="1"/>
  <c r="L51" i="78" s="1"/>
  <c r="M52" i="78"/>
  <c r="M53" i="78"/>
  <c r="L30" i="78"/>
  <c r="L31" i="78"/>
  <c r="L32" i="78"/>
  <c r="L44" i="78"/>
  <c r="L45" i="78"/>
  <c r="L46" i="78"/>
  <c r="K18" i="78"/>
  <c r="L18" i="78" s="1"/>
  <c r="K25" i="78"/>
  <c r="L25" i="78" s="1"/>
  <c r="K26" i="78"/>
  <c r="L26" i="78" s="1"/>
  <c r="K30" i="78"/>
  <c r="K31" i="78"/>
  <c r="K32" i="78"/>
  <c r="K33" i="78"/>
  <c r="L33" i="78" s="1"/>
  <c r="K35" i="78"/>
  <c r="L35" i="78" s="1"/>
  <c r="K38" i="78"/>
  <c r="L38" i="78" s="1"/>
  <c r="K39" i="78"/>
  <c r="L39" i="78" s="1"/>
  <c r="K40" i="78"/>
  <c r="L40" i="78" s="1"/>
  <c r="K44" i="78"/>
  <c r="K45" i="78"/>
  <c r="K46" i="78"/>
  <c r="K47" i="78"/>
  <c r="L47" i="78" s="1"/>
  <c r="K49" i="78"/>
  <c r="L49" i="78" s="1"/>
  <c r="K52" i="78"/>
  <c r="L52" i="78" s="1"/>
  <c r="K53" i="78"/>
  <c r="L53" i="78" s="1"/>
  <c r="A14" i="78"/>
  <c r="A15" i="78"/>
  <c r="A16" i="78"/>
  <c r="A17" i="78"/>
  <c r="A18" i="78" s="1"/>
  <c r="A19" i="78" s="1"/>
  <c r="A20" i="78" s="1"/>
  <c r="A21" i="78" s="1"/>
  <c r="A22" i="78" s="1"/>
  <c r="A23" i="78" s="1"/>
  <c r="A24" i="78" s="1"/>
  <c r="A25" i="78" s="1"/>
  <c r="A26" i="78" s="1"/>
  <c r="A27" i="78" s="1"/>
  <c r="A28" i="78" s="1"/>
  <c r="A29" i="78" s="1"/>
  <c r="A30" i="78" s="1"/>
  <c r="A31" i="78" s="1"/>
  <c r="A32" i="78" s="1"/>
  <c r="A33" i="78" s="1"/>
  <c r="A34" i="78" s="1"/>
  <c r="A35" i="78" s="1"/>
  <c r="A36" i="78" s="1"/>
  <c r="A37" i="78" s="1"/>
  <c r="A38" i="78" s="1"/>
  <c r="A39" i="78" s="1"/>
  <c r="A40" i="78" s="1"/>
  <c r="A41" i="78" s="1"/>
  <c r="A42" i="78" s="1"/>
  <c r="A43" i="78" s="1"/>
  <c r="A44" i="78" s="1"/>
  <c r="A45" i="78" s="1"/>
  <c r="A46" i="78" s="1"/>
  <c r="A47" i="78" s="1"/>
  <c r="A48" i="78" s="1"/>
  <c r="A49" i="78" s="1"/>
  <c r="A50" i="78" s="1"/>
  <c r="A51" i="78" s="1"/>
  <c r="A52" i="78" s="1"/>
  <c r="A53" i="78" s="1"/>
  <c r="A13" i="78"/>
  <c r="Y13" i="78"/>
  <c r="Y14" i="78"/>
  <c r="M13" i="78"/>
  <c r="M14" i="78"/>
  <c r="N14" i="78" s="1"/>
  <c r="Z14" i="78" s="1"/>
  <c r="V27" i="79"/>
  <c r="Y18" i="79"/>
  <c r="W18" i="79"/>
  <c r="M18" i="79"/>
  <c r="F18" i="79" s="1"/>
  <c r="Y17" i="79"/>
  <c r="W17" i="79"/>
  <c r="M17" i="79"/>
  <c r="F17" i="79" s="1"/>
  <c r="Y16" i="79"/>
  <c r="W16" i="79"/>
  <c r="M16" i="79"/>
  <c r="N16" i="79" s="1"/>
  <c r="Y15" i="79"/>
  <c r="W15" i="79"/>
  <c r="M15" i="79"/>
  <c r="N15" i="79" s="1"/>
  <c r="Y14" i="79"/>
  <c r="W14" i="79"/>
  <c r="M14" i="79"/>
  <c r="N14" i="79" s="1"/>
  <c r="A14" i="79"/>
  <c r="A15" i="79" s="1"/>
  <c r="A16" i="79" s="1"/>
  <c r="A17" i="79" s="1"/>
  <c r="A18" i="79" s="1"/>
  <c r="Y13" i="79"/>
  <c r="W13" i="79"/>
  <c r="M13" i="79"/>
  <c r="N13" i="79" s="1"/>
  <c r="Y12" i="79"/>
  <c r="W12" i="79"/>
  <c r="M12" i="79"/>
  <c r="N12" i="79" s="1"/>
  <c r="L3" i="79"/>
  <c r="V62" i="78"/>
  <c r="Y12" i="78"/>
  <c r="W12" i="78"/>
  <c r="M12" i="78"/>
  <c r="F12" i="78" s="1"/>
  <c r="L3" i="78"/>
  <c r="Y40" i="74"/>
  <c r="Y41" i="74"/>
  <c r="Y42" i="74"/>
  <c r="Y43" i="74"/>
  <c r="Y44" i="74"/>
  <c r="W13" i="74"/>
  <c r="W14" i="74"/>
  <c r="W15" i="74"/>
  <c r="W16" i="74"/>
  <c r="W17" i="74"/>
  <c r="W18" i="74"/>
  <c r="W19" i="74"/>
  <c r="W20" i="74"/>
  <c r="W21" i="74"/>
  <c r="W22" i="74"/>
  <c r="W23" i="74"/>
  <c r="W24" i="74"/>
  <c r="W25" i="74"/>
  <c r="W26" i="74"/>
  <c r="W27" i="74"/>
  <c r="W28" i="74"/>
  <c r="W29" i="74"/>
  <c r="W30" i="74"/>
  <c r="W31" i="74"/>
  <c r="W32" i="74"/>
  <c r="W33" i="74"/>
  <c r="W34" i="74"/>
  <c r="W35" i="74"/>
  <c r="W36" i="74"/>
  <c r="W37" i="74"/>
  <c r="W38" i="74"/>
  <c r="W39" i="74"/>
  <c r="W40" i="74"/>
  <c r="W41" i="74"/>
  <c r="W42" i="74"/>
  <c r="W43" i="74"/>
  <c r="W44" i="74"/>
  <c r="M13" i="74"/>
  <c r="N13" i="74" s="1"/>
  <c r="M14" i="74"/>
  <c r="N14" i="74" s="1"/>
  <c r="M15" i="74"/>
  <c r="F15" i="74" s="1"/>
  <c r="M16" i="74"/>
  <c r="F16" i="74" s="1"/>
  <c r="M17" i="74"/>
  <c r="N17" i="74" s="1"/>
  <c r="M18" i="74"/>
  <c r="F18" i="74" s="1"/>
  <c r="M19" i="74"/>
  <c r="N19" i="74" s="1"/>
  <c r="M20" i="74"/>
  <c r="F20" i="74" s="1"/>
  <c r="M21" i="74"/>
  <c r="N21" i="74" s="1"/>
  <c r="M22" i="74"/>
  <c r="F22" i="74" s="1"/>
  <c r="M23" i="74"/>
  <c r="F23" i="74" s="1"/>
  <c r="M24" i="74"/>
  <c r="F24" i="74" s="1"/>
  <c r="M25" i="74"/>
  <c r="F25" i="74" s="1"/>
  <c r="M26" i="74"/>
  <c r="N26" i="74" s="1"/>
  <c r="M27" i="74"/>
  <c r="F27" i="74" s="1"/>
  <c r="M28" i="74"/>
  <c r="F28" i="74" s="1"/>
  <c r="M29" i="74"/>
  <c r="F29" i="74" s="1"/>
  <c r="M30" i="74"/>
  <c r="F30" i="74" s="1"/>
  <c r="M31" i="74"/>
  <c r="N31" i="74" s="1"/>
  <c r="M32" i="74"/>
  <c r="F32" i="74" s="1"/>
  <c r="M33" i="74"/>
  <c r="N33" i="74" s="1"/>
  <c r="M34" i="74"/>
  <c r="N34" i="74" s="1"/>
  <c r="M35" i="74"/>
  <c r="F35" i="74" s="1"/>
  <c r="M36" i="74"/>
  <c r="N36" i="74" s="1"/>
  <c r="M37" i="74"/>
  <c r="F37" i="74" s="1"/>
  <c r="M38" i="74"/>
  <c r="F38" i="74" s="1"/>
  <c r="M39" i="74"/>
  <c r="F39" i="74" s="1"/>
  <c r="M40" i="74"/>
  <c r="M41" i="74"/>
  <c r="M42" i="74"/>
  <c r="N42" i="74" s="1"/>
  <c r="M43" i="74"/>
  <c r="N43" i="74" s="1"/>
  <c r="M44" i="74"/>
  <c r="V53" i="74"/>
  <c r="Y39" i="74"/>
  <c r="Y38" i="74"/>
  <c r="Y37" i="74"/>
  <c r="Y36" i="74"/>
  <c r="Y35" i="74"/>
  <c r="Y34" i="74"/>
  <c r="Y33" i="74"/>
  <c r="Y32" i="74"/>
  <c r="Y31" i="74"/>
  <c r="Y30" i="74"/>
  <c r="Y29" i="74"/>
  <c r="Y28" i="74"/>
  <c r="Y27" i="74"/>
  <c r="Y26" i="74"/>
  <c r="Y25" i="74"/>
  <c r="Y24" i="74"/>
  <c r="Y23" i="74"/>
  <c r="Y22" i="74"/>
  <c r="Y21" i="74"/>
  <c r="Y20" i="74"/>
  <c r="Y19" i="74"/>
  <c r="Y18" i="74"/>
  <c r="Y17" i="74"/>
  <c r="Y16" i="74"/>
  <c r="Y15" i="74"/>
  <c r="Y14" i="74"/>
  <c r="A14" i="74"/>
  <c r="A15" i="74" s="1"/>
  <c r="A16" i="74" s="1"/>
  <c r="A17" i="74" s="1"/>
  <c r="A18" i="74" s="1"/>
  <c r="A19" i="74" s="1"/>
  <c r="A20" i="74" s="1"/>
  <c r="A21" i="74" s="1"/>
  <c r="A22" i="74" s="1"/>
  <c r="A23" i="74" s="1"/>
  <c r="A24" i="74" s="1"/>
  <c r="A25" i="74" s="1"/>
  <c r="A26" i="74" s="1"/>
  <c r="A27" i="74" s="1"/>
  <c r="A28" i="74" s="1"/>
  <c r="A29" i="74" s="1"/>
  <c r="A30" i="74" s="1"/>
  <c r="A31" i="74" s="1"/>
  <c r="A32" i="74" s="1"/>
  <c r="A33" i="74" s="1"/>
  <c r="A34" i="74" s="1"/>
  <c r="A35" i="74" s="1"/>
  <c r="A36" i="74" s="1"/>
  <c r="A37" i="74" s="1"/>
  <c r="A38" i="74" s="1"/>
  <c r="A39" i="74" s="1"/>
  <c r="A40" i="74" s="1"/>
  <c r="A41" i="74" s="1"/>
  <c r="A42" i="74" s="1"/>
  <c r="A43" i="74" s="1"/>
  <c r="A44" i="74" s="1"/>
  <c r="Y13" i="74"/>
  <c r="Y12" i="74"/>
  <c r="L3" i="74"/>
  <c r="M21" i="73"/>
  <c r="N21" i="73" s="1"/>
  <c r="M19" i="73"/>
  <c r="F19" i="73" s="1"/>
  <c r="M17" i="73"/>
  <c r="F17" i="73" s="1"/>
  <c r="M15" i="73"/>
  <c r="F15" i="73" s="1"/>
  <c r="Y21" i="73"/>
  <c r="Y12" i="73"/>
  <c r="W39" i="73"/>
  <c r="W13" i="73"/>
  <c r="W14" i="73"/>
  <c r="W15" i="73"/>
  <c r="W16" i="73"/>
  <c r="W17" i="73"/>
  <c r="W18" i="73"/>
  <c r="W19" i="73"/>
  <c r="W20" i="73"/>
  <c r="W21" i="73"/>
  <c r="W22" i="73"/>
  <c r="W23" i="73"/>
  <c r="W24" i="73"/>
  <c r="W25" i="73"/>
  <c r="W26" i="73"/>
  <c r="W27" i="73"/>
  <c r="W28" i="73"/>
  <c r="W29" i="73"/>
  <c r="W30" i="73"/>
  <c r="W31" i="73"/>
  <c r="W32" i="73"/>
  <c r="W33" i="73"/>
  <c r="W34" i="73"/>
  <c r="W35" i="73"/>
  <c r="W36" i="73"/>
  <c r="W37" i="73"/>
  <c r="W38" i="73"/>
  <c r="W12" i="73"/>
  <c r="Y13" i="73"/>
  <c r="Y14" i="73"/>
  <c r="Y15" i="73"/>
  <c r="Y16" i="73"/>
  <c r="Y17" i="73"/>
  <c r="Y18" i="73"/>
  <c r="Y19" i="73"/>
  <c r="Y20" i="73"/>
  <c r="Y22" i="73"/>
  <c r="Y23" i="73"/>
  <c r="Y24" i="73"/>
  <c r="Y25" i="73"/>
  <c r="Y26" i="73"/>
  <c r="Y27" i="73"/>
  <c r="Y28" i="73"/>
  <c r="Y29" i="73"/>
  <c r="Y30" i="73"/>
  <c r="Y31" i="73"/>
  <c r="Y32" i="73"/>
  <c r="Y33" i="73"/>
  <c r="Y34" i="73"/>
  <c r="Y35" i="73"/>
  <c r="Y36" i="73"/>
  <c r="Y37" i="73"/>
  <c r="Y38" i="73"/>
  <c r="Y39" i="73"/>
  <c r="F23" i="73"/>
  <c r="F24" i="73"/>
  <c r="F26" i="73"/>
  <c r="F28" i="73"/>
  <c r="G28" i="73" s="1"/>
  <c r="H28" i="73" s="1"/>
  <c r="I28" i="73" s="1"/>
  <c r="F29" i="73"/>
  <c r="G29" i="73" s="1"/>
  <c r="H29" i="73" s="1"/>
  <c r="I29" i="73" s="1"/>
  <c r="K29" i="73" s="1"/>
  <c r="L29" i="73" s="1"/>
  <c r="F30" i="73"/>
  <c r="F32" i="73"/>
  <c r="F34" i="73"/>
  <c r="G34" i="73" s="1"/>
  <c r="H34" i="73" s="1"/>
  <c r="I34" i="73" s="1"/>
  <c r="F36" i="73"/>
  <c r="G36" i="73" s="1"/>
  <c r="H36" i="73" s="1"/>
  <c r="F37" i="73"/>
  <c r="F38" i="73"/>
  <c r="V48" i="73"/>
  <c r="M14" i="73"/>
  <c r="F14" i="73" s="1"/>
  <c r="M16" i="73"/>
  <c r="F16" i="73" s="1"/>
  <c r="M18" i="73"/>
  <c r="F18" i="73" s="1"/>
  <c r="M20" i="73"/>
  <c r="F20" i="73" s="1"/>
  <c r="M22" i="73"/>
  <c r="F22" i="73" s="1"/>
  <c r="M25" i="73"/>
  <c r="F25" i="73" s="1"/>
  <c r="M27" i="73"/>
  <c r="F27" i="73" s="1"/>
  <c r="M29" i="73"/>
  <c r="M31" i="73"/>
  <c r="F31" i="73" s="1"/>
  <c r="G31" i="73" s="1"/>
  <c r="H31" i="73" s="1"/>
  <c r="I31" i="73" s="1"/>
  <c r="K31" i="73" s="1"/>
  <c r="L31" i="73" s="1"/>
  <c r="M33" i="73"/>
  <c r="F33" i="73" s="1"/>
  <c r="G33" i="73" s="1"/>
  <c r="H33" i="73" s="1"/>
  <c r="I33" i="73" s="1"/>
  <c r="K33" i="73" s="1"/>
  <c r="L33" i="73" s="1"/>
  <c r="M35" i="73"/>
  <c r="F35" i="73" s="1"/>
  <c r="G35" i="73" s="1"/>
  <c r="H35" i="73" s="1"/>
  <c r="I35" i="73" s="1"/>
  <c r="K35" i="73" s="1"/>
  <c r="L35" i="73" s="1"/>
  <c r="M39" i="73"/>
  <c r="F39" i="73" s="1"/>
  <c r="A14" i="73"/>
  <c r="A15" i="73" s="1"/>
  <c r="A16" i="73" s="1"/>
  <c r="A17" i="73" s="1"/>
  <c r="A18" i="73" s="1"/>
  <c r="A19" i="73" s="1"/>
  <c r="A20" i="73" s="1"/>
  <c r="A21" i="73" s="1"/>
  <c r="A22" i="73" s="1"/>
  <c r="A23" i="73" s="1"/>
  <c r="A24" i="73" s="1"/>
  <c r="A25" i="73" s="1"/>
  <c r="A26" i="73" s="1"/>
  <c r="A27" i="73" s="1"/>
  <c r="A28" i="73" s="1"/>
  <c r="A29" i="73" s="1"/>
  <c r="A30" i="73" s="1"/>
  <c r="A31" i="73" s="1"/>
  <c r="A32" i="73" s="1"/>
  <c r="A33" i="73" s="1"/>
  <c r="A34" i="73" s="1"/>
  <c r="A35" i="73" s="1"/>
  <c r="A36" i="73" s="1"/>
  <c r="A37" i="73" s="1"/>
  <c r="A38" i="73" s="1"/>
  <c r="A39" i="73" s="1"/>
  <c r="V26" i="71"/>
  <c r="L3" i="73"/>
  <c r="G38" i="73" s="1"/>
  <c r="H38" i="73" s="1"/>
  <c r="I38" i="73" s="1"/>
  <c r="Y16" i="71"/>
  <c r="E16" i="71"/>
  <c r="B16" i="71"/>
  <c r="M16" i="71" s="1"/>
  <c r="B13" i="71"/>
  <c r="B14" i="71" s="1"/>
  <c r="B15" i="71" s="1"/>
  <c r="Y15" i="71"/>
  <c r="Y14" i="71"/>
  <c r="Y13" i="71"/>
  <c r="Y12" i="71"/>
  <c r="L3" i="71"/>
  <c r="Y16" i="61"/>
  <c r="Y33" i="61"/>
  <c r="E33" i="61"/>
  <c r="M33" i="61"/>
  <c r="Y32" i="61"/>
  <c r="M32" i="61"/>
  <c r="N32" i="61" s="1"/>
  <c r="Z32" i="61" s="1"/>
  <c r="B25" i="61"/>
  <c r="B26" i="61" s="1"/>
  <c r="B27" i="61" s="1"/>
  <c r="B28" i="61" s="1"/>
  <c r="Y25" i="61"/>
  <c r="E25" i="61"/>
  <c r="Y24" i="61"/>
  <c r="B19" i="61"/>
  <c r="Y19" i="61"/>
  <c r="Y18" i="61"/>
  <c r="M18" i="61"/>
  <c r="N18" i="61" s="1"/>
  <c r="E14" i="71"/>
  <c r="E13" i="71"/>
  <c r="E19" i="61"/>
  <c r="E24" i="61"/>
  <c r="K24" i="78" l="1"/>
  <c r="L24" i="78" s="1"/>
  <c r="AA24" i="78" s="1"/>
  <c r="N23" i="78"/>
  <c r="Z23" i="78" s="1"/>
  <c r="AA23" i="78"/>
  <c r="Z22" i="78"/>
  <c r="AA22" i="78"/>
  <c r="Z21" i="78"/>
  <c r="K21" i="78"/>
  <c r="L21" i="78" s="1"/>
  <c r="AA21" i="78" s="1"/>
  <c r="N19" i="78"/>
  <c r="Z19" i="78" s="1"/>
  <c r="N20" i="78"/>
  <c r="Z20" i="78" s="1"/>
  <c r="AA20" i="78"/>
  <c r="AA19" i="78"/>
  <c r="AA18" i="78"/>
  <c r="K17" i="78"/>
  <c r="L17" i="78" s="1"/>
  <c r="AA17" i="78" s="1"/>
  <c r="N16" i="78"/>
  <c r="Z16" i="78" s="1"/>
  <c r="AA16" i="78" s="1"/>
  <c r="N15" i="78"/>
  <c r="Z15" i="78" s="1"/>
  <c r="AA15" i="78" s="1"/>
  <c r="Z13" i="79"/>
  <c r="F14" i="79"/>
  <c r="Z14" i="79"/>
  <c r="Z12" i="79"/>
  <c r="F16" i="79"/>
  <c r="G16" i="79" s="1"/>
  <c r="H16" i="79" s="1"/>
  <c r="I16" i="79" s="1"/>
  <c r="K16" i="79" s="1"/>
  <c r="L16" i="79" s="1"/>
  <c r="AA16" i="79" s="1"/>
  <c r="Z16" i="79"/>
  <c r="F13" i="79"/>
  <c r="K13" i="78"/>
  <c r="L13" i="78" s="1"/>
  <c r="K14" i="78"/>
  <c r="L14" i="78" s="1"/>
  <c r="AA14" i="78" s="1"/>
  <c r="N13" i="78"/>
  <c r="Z13" i="78" s="1"/>
  <c r="F12" i="79"/>
  <c r="G12" i="79" s="1"/>
  <c r="H12" i="79" s="1"/>
  <c r="I12" i="79" s="1"/>
  <c r="K12" i="79" s="1"/>
  <c r="L12" i="79" s="1"/>
  <c r="Z15" i="79"/>
  <c r="G18" i="79"/>
  <c r="H18" i="79" s="1"/>
  <c r="I18" i="79"/>
  <c r="K18" i="79" s="1"/>
  <c r="L18" i="79" s="1"/>
  <c r="G17" i="79"/>
  <c r="H17" i="79" s="1"/>
  <c r="I17" i="79" s="1"/>
  <c r="K17" i="79" s="1"/>
  <c r="L17" i="79" s="1"/>
  <c r="AA12" i="79"/>
  <c r="F15" i="79"/>
  <c r="G14" i="79"/>
  <c r="H14" i="79" s="1"/>
  <c r="I14" i="79" s="1"/>
  <c r="K14" i="79" s="1"/>
  <c r="L14" i="79" s="1"/>
  <c r="AA14" i="79" s="1"/>
  <c r="G13" i="79"/>
  <c r="H13" i="79" s="1"/>
  <c r="I13" i="79" s="1"/>
  <c r="K13" i="79" s="1"/>
  <c r="L13" i="79" s="1"/>
  <c r="N18" i="79"/>
  <c r="Z18" i="79" s="1"/>
  <c r="N17" i="79"/>
  <c r="Z17" i="79" s="1"/>
  <c r="N12" i="78"/>
  <c r="Z12" i="78" s="1"/>
  <c r="G12" i="78"/>
  <c r="H12" i="78" s="1"/>
  <c r="I12" i="78" s="1"/>
  <c r="Z43" i="74"/>
  <c r="Z42" i="74"/>
  <c r="G23" i="73"/>
  <c r="H23" i="73" s="1"/>
  <c r="I23" i="73" s="1"/>
  <c r="Z14" i="73"/>
  <c r="G37" i="73"/>
  <c r="H37" i="73" s="1"/>
  <c r="I37" i="73" s="1"/>
  <c r="F21" i="73"/>
  <c r="G21" i="73" s="1"/>
  <c r="H21" i="73" s="1"/>
  <c r="I21" i="73" s="1"/>
  <c r="Z12" i="73"/>
  <c r="Z20" i="73"/>
  <c r="G14" i="73"/>
  <c r="H14" i="73" s="1"/>
  <c r="I14" i="73" s="1"/>
  <c r="K14" i="73" s="1"/>
  <c r="L14" i="73" s="1"/>
  <c r="G39" i="73"/>
  <c r="H39" i="73" s="1"/>
  <c r="I39" i="73" s="1"/>
  <c r="K39" i="73" s="1"/>
  <c r="L39" i="73" s="1"/>
  <c r="G27" i="73"/>
  <c r="H27" i="73" s="1"/>
  <c r="I27" i="73" s="1"/>
  <c r="K27" i="73" s="1"/>
  <c r="L27" i="73" s="1"/>
  <c r="G20" i="73"/>
  <c r="H20" i="73" s="1"/>
  <c r="I20" i="73" s="1"/>
  <c r="K20" i="73" s="1"/>
  <c r="L20" i="73" s="1"/>
  <c r="AA20" i="73" s="1"/>
  <c r="G18" i="73"/>
  <c r="H18" i="73" s="1"/>
  <c r="I18" i="73" s="1"/>
  <c r="K18" i="73" s="1"/>
  <c r="L18" i="73" s="1"/>
  <c r="G25" i="73"/>
  <c r="H25" i="73" s="1"/>
  <c r="I25" i="73" s="1"/>
  <c r="K25" i="73" s="1"/>
  <c r="L25" i="73" s="1"/>
  <c r="G16" i="73"/>
  <c r="H16" i="73" s="1"/>
  <c r="I16" i="73" s="1"/>
  <c r="K16" i="73" s="1"/>
  <c r="L16" i="73" s="1"/>
  <c r="G24" i="73"/>
  <c r="H24" i="73" s="1"/>
  <c r="I24" i="73" s="1"/>
  <c r="G32" i="73"/>
  <c r="H32" i="73" s="1"/>
  <c r="I32" i="73" s="1"/>
  <c r="G22" i="73"/>
  <c r="H22" i="73" s="1"/>
  <c r="I22" i="73" s="1"/>
  <c r="K22" i="73" s="1"/>
  <c r="L22" i="73" s="1"/>
  <c r="N15" i="73"/>
  <c r="G30" i="73"/>
  <c r="H30" i="73" s="1"/>
  <c r="N17" i="73"/>
  <c r="Z17" i="73" s="1"/>
  <c r="AA17" i="73" s="1"/>
  <c r="N19" i="73"/>
  <c r="F14" i="74"/>
  <c r="G14" i="74" s="1"/>
  <c r="H14" i="74" s="1"/>
  <c r="I14" i="74" s="1"/>
  <c r="G18" i="74"/>
  <c r="H18" i="74" s="1"/>
  <c r="I18" i="74" s="1"/>
  <c r="Z17" i="74"/>
  <c r="F36" i="74"/>
  <c r="N18" i="74"/>
  <c r="Z18" i="74" s="1"/>
  <c r="G30" i="74"/>
  <c r="H30" i="74" s="1"/>
  <c r="I30" i="74" s="1"/>
  <c r="K30" i="74" s="1"/>
  <c r="L30" i="74" s="1"/>
  <c r="G15" i="74"/>
  <c r="H15" i="74" s="1"/>
  <c r="I15" i="74" s="1"/>
  <c r="K15" i="74" s="1"/>
  <c r="L15" i="74" s="1"/>
  <c r="G29" i="74"/>
  <c r="H29" i="74" s="1"/>
  <c r="I29" i="74" s="1"/>
  <c r="K29" i="74" s="1"/>
  <c r="L29" i="74" s="1"/>
  <c r="G27" i="74"/>
  <c r="H27" i="74" s="1"/>
  <c r="I27" i="74" s="1"/>
  <c r="G25" i="74"/>
  <c r="H25" i="74" s="1"/>
  <c r="I25" i="74" s="1"/>
  <c r="K25" i="74" s="1"/>
  <c r="L25" i="74" s="1"/>
  <c r="N22" i="74"/>
  <c r="Z22" i="74" s="1"/>
  <c r="G37" i="74"/>
  <c r="H37" i="74" s="1"/>
  <c r="I37" i="74" s="1"/>
  <c r="K37" i="74" s="1"/>
  <c r="L37" i="74" s="1"/>
  <c r="G20" i="74"/>
  <c r="H20" i="74" s="1"/>
  <c r="I20" i="74" s="1"/>
  <c r="F44" i="74"/>
  <c r="N44" i="74"/>
  <c r="Z44" i="74" s="1"/>
  <c r="F43" i="74"/>
  <c r="F42" i="74"/>
  <c r="F41" i="74"/>
  <c r="N41" i="74"/>
  <c r="Z41" i="74" s="1"/>
  <c r="F40" i="74"/>
  <c r="N40" i="74"/>
  <c r="Z40" i="74" s="1"/>
  <c r="N39" i="74"/>
  <c r="Z39" i="74" s="1"/>
  <c r="N38" i="74"/>
  <c r="Z38" i="74" s="1"/>
  <c r="N37" i="74"/>
  <c r="Z37" i="74" s="1"/>
  <c r="N35" i="74"/>
  <c r="Z35" i="74" s="1"/>
  <c r="F34" i="74"/>
  <c r="G34" i="74" s="1"/>
  <c r="H34" i="74" s="1"/>
  <c r="I34" i="74" s="1"/>
  <c r="K34" i="74" s="1"/>
  <c r="L34" i="74" s="1"/>
  <c r="F33" i="74"/>
  <c r="G33" i="74" s="1"/>
  <c r="H33" i="74" s="1"/>
  <c r="I33" i="74" s="1"/>
  <c r="K33" i="74" s="1"/>
  <c r="L33" i="74" s="1"/>
  <c r="N32" i="74"/>
  <c r="Z32" i="74" s="1"/>
  <c r="F31" i="74"/>
  <c r="G31" i="74" s="1"/>
  <c r="H31" i="74" s="1"/>
  <c r="N30" i="74"/>
  <c r="Z30" i="74" s="1"/>
  <c r="N29" i="74"/>
  <c r="Z29" i="74" s="1"/>
  <c r="N28" i="74"/>
  <c r="Z28" i="74" s="1"/>
  <c r="N27" i="74"/>
  <c r="Z27" i="74" s="1"/>
  <c r="F26" i="74"/>
  <c r="G26" i="74" s="1"/>
  <c r="H26" i="74" s="1"/>
  <c r="I26" i="74" s="1"/>
  <c r="K26" i="74" s="1"/>
  <c r="L26" i="74" s="1"/>
  <c r="N25" i="74"/>
  <c r="Z25" i="74" s="1"/>
  <c r="N24" i="74"/>
  <c r="Z24" i="74" s="1"/>
  <c r="N23" i="74"/>
  <c r="Z23" i="74" s="1"/>
  <c r="N20" i="74"/>
  <c r="Z20" i="74" s="1"/>
  <c r="Z19" i="74"/>
  <c r="N16" i="74"/>
  <c r="Z16" i="74" s="1"/>
  <c r="N15" i="74"/>
  <c r="Z15" i="74" s="1"/>
  <c r="Z14" i="74"/>
  <c r="Z31" i="74"/>
  <c r="Z36" i="74"/>
  <c r="Z26" i="74"/>
  <c r="Z33" i="74"/>
  <c r="Z21" i="74"/>
  <c r="Z34" i="74"/>
  <c r="F21" i="74"/>
  <c r="G21" i="74" s="1"/>
  <c r="H21" i="74" s="1"/>
  <c r="I21" i="74" s="1"/>
  <c r="K21" i="74" s="1"/>
  <c r="L21" i="74" s="1"/>
  <c r="M13" i="73"/>
  <c r="M12" i="74"/>
  <c r="G22" i="74"/>
  <c r="H22" i="74" s="1"/>
  <c r="I22" i="74" s="1"/>
  <c r="G16" i="74"/>
  <c r="H16" i="74" s="1"/>
  <c r="I16" i="74" s="1"/>
  <c r="G39" i="74"/>
  <c r="H39" i="74" s="1"/>
  <c r="F19" i="74"/>
  <c r="G24" i="74"/>
  <c r="H24" i="74" s="1"/>
  <c r="I24" i="74" s="1"/>
  <c r="K24" i="74" s="1"/>
  <c r="L24" i="74" s="1"/>
  <c r="G28" i="74"/>
  <c r="H28" i="74" s="1"/>
  <c r="G32" i="74"/>
  <c r="H32" i="74" s="1"/>
  <c r="I32" i="74" s="1"/>
  <c r="K32" i="74" s="1"/>
  <c r="L32" i="74" s="1"/>
  <c r="G36" i="74"/>
  <c r="H36" i="74" s="1"/>
  <c r="I36" i="74" s="1"/>
  <c r="K36" i="74" s="1"/>
  <c r="L36" i="74" s="1"/>
  <c r="F17" i="74"/>
  <c r="G23" i="74"/>
  <c r="H23" i="74" s="1"/>
  <c r="I23" i="74" s="1"/>
  <c r="K23" i="74" s="1"/>
  <c r="L23" i="74" s="1"/>
  <c r="G38" i="74"/>
  <c r="H38" i="74" s="1"/>
  <c r="I38" i="74" s="1"/>
  <c r="K38" i="74" s="1"/>
  <c r="L38" i="74" s="1"/>
  <c r="G35" i="74"/>
  <c r="H35" i="74" s="1"/>
  <c r="I36" i="73"/>
  <c r="I30" i="73"/>
  <c r="G26" i="73"/>
  <c r="H26" i="73" s="1"/>
  <c r="I26" i="73" s="1"/>
  <c r="G19" i="73"/>
  <c r="H19" i="73" s="1"/>
  <c r="I19" i="73" s="1"/>
  <c r="G17" i="73"/>
  <c r="H17" i="73" s="1"/>
  <c r="I17" i="73"/>
  <c r="G15" i="73"/>
  <c r="H15" i="73" s="1"/>
  <c r="I15" i="73"/>
  <c r="Z16" i="73"/>
  <c r="Z30" i="73"/>
  <c r="AA30" i="73" s="1"/>
  <c r="Z24" i="73"/>
  <c r="AA24" i="73" s="1"/>
  <c r="Z39" i="73"/>
  <c r="Z38" i="73"/>
  <c r="AA38" i="73" s="1"/>
  <c r="Z34" i="73"/>
  <c r="AA34" i="73" s="1"/>
  <c r="Z15" i="73"/>
  <c r="AA15" i="73" s="1"/>
  <c r="Z25" i="73"/>
  <c r="Z29" i="73"/>
  <c r="AA29" i="73" s="1"/>
  <c r="Z28" i="73"/>
  <c r="AA28" i="73" s="1"/>
  <c r="Z37" i="73"/>
  <c r="AA37" i="73" s="1"/>
  <c r="Z36" i="73"/>
  <c r="AA36" i="73" s="1"/>
  <c r="Z35" i="73"/>
  <c r="AA35" i="73" s="1"/>
  <c r="Z31" i="73"/>
  <c r="AA31" i="73" s="1"/>
  <c r="Z21" i="73"/>
  <c r="AA21" i="73" s="1"/>
  <c r="Z23" i="73"/>
  <c r="AA23" i="73" s="1"/>
  <c r="Z27" i="73"/>
  <c r="Z22" i="73"/>
  <c r="Z33" i="73"/>
  <c r="AA33" i="73" s="1"/>
  <c r="Z19" i="73"/>
  <c r="AA19" i="73" s="1"/>
  <c r="Z32" i="73"/>
  <c r="AA32" i="73" s="1"/>
  <c r="Z18" i="73"/>
  <c r="Z26" i="73"/>
  <c r="AA26" i="73" s="1"/>
  <c r="M12" i="73"/>
  <c r="F12" i="73" s="1"/>
  <c r="N16" i="71"/>
  <c r="Z16" i="71" s="1"/>
  <c r="F16" i="71"/>
  <c r="M12" i="71"/>
  <c r="M14" i="71"/>
  <c r="M13" i="71"/>
  <c r="F32" i="61"/>
  <c r="F33" i="61"/>
  <c r="N33" i="61"/>
  <c r="Z33" i="61" s="1"/>
  <c r="M25" i="61"/>
  <c r="N25" i="61" s="1"/>
  <c r="Z25" i="61" s="1"/>
  <c r="M24" i="61"/>
  <c r="Z18" i="61"/>
  <c r="M19" i="61"/>
  <c r="F18" i="61"/>
  <c r="E15" i="71"/>
  <c r="AA58" i="78" l="1"/>
  <c r="AA13" i="78"/>
  <c r="AA13" i="79"/>
  <c r="K12" i="78"/>
  <c r="L12" i="78" s="1"/>
  <c r="AA12" i="78" s="1"/>
  <c r="AA17" i="79"/>
  <c r="G15" i="79"/>
  <c r="H15" i="79" s="1"/>
  <c r="I15" i="79" s="1"/>
  <c r="K15" i="79" s="1"/>
  <c r="L15" i="79" s="1"/>
  <c r="AA15" i="79" s="1"/>
  <c r="AA18" i="79"/>
  <c r="AA14" i="73"/>
  <c r="AA39" i="73"/>
  <c r="AA27" i="73"/>
  <c r="AA18" i="73"/>
  <c r="AA22" i="73"/>
  <c r="AA25" i="73"/>
  <c r="AA16" i="73"/>
  <c r="AA30" i="74"/>
  <c r="AA25" i="74"/>
  <c r="AA29" i="74"/>
  <c r="AA37" i="74"/>
  <c r="AA15" i="74"/>
  <c r="AA21" i="74"/>
  <c r="G44" i="74"/>
  <c r="H44" i="74" s="1"/>
  <c r="I44" i="74" s="1"/>
  <c r="K44" i="74" s="1"/>
  <c r="L44" i="74" s="1"/>
  <c r="AA44" i="74" s="1"/>
  <c r="G43" i="74"/>
  <c r="H43" i="74" s="1"/>
  <c r="I43" i="74" s="1"/>
  <c r="K43" i="74" s="1"/>
  <c r="L43" i="74" s="1"/>
  <c r="AA43" i="74" s="1"/>
  <c r="G42" i="74"/>
  <c r="H42" i="74" s="1"/>
  <c r="I42" i="74" s="1"/>
  <c r="K42" i="74" s="1"/>
  <c r="L42" i="74" s="1"/>
  <c r="AA42" i="74" s="1"/>
  <c r="G41" i="74"/>
  <c r="H41" i="74" s="1"/>
  <c r="I41" i="74" s="1"/>
  <c r="K41" i="74" s="1"/>
  <c r="L41" i="74" s="1"/>
  <c r="AA41" i="74" s="1"/>
  <c r="G40" i="74"/>
  <c r="H40" i="74" s="1"/>
  <c r="I40" i="74" s="1"/>
  <c r="K40" i="74" s="1"/>
  <c r="L40" i="74" s="1"/>
  <c r="AA40" i="74" s="1"/>
  <c r="AA38" i="74"/>
  <c r="AA36" i="74"/>
  <c r="AA34" i="74"/>
  <c r="AA33" i="74"/>
  <c r="I31" i="74"/>
  <c r="K31" i="74" s="1"/>
  <c r="L31" i="74" s="1"/>
  <c r="AA31" i="74" s="1"/>
  <c r="AA26" i="74"/>
  <c r="AA24" i="74"/>
  <c r="F12" i="74"/>
  <c r="G12" i="74" s="1"/>
  <c r="H12" i="74" s="1"/>
  <c r="I12" i="74" s="1"/>
  <c r="K12" i="74" s="1"/>
  <c r="L12" i="74" s="1"/>
  <c r="N12" i="74"/>
  <c r="Z12" i="74" s="1"/>
  <c r="AA23" i="74"/>
  <c r="AA32" i="74"/>
  <c r="K16" i="74"/>
  <c r="L16" i="74" s="1"/>
  <c r="AA16" i="74" s="1"/>
  <c r="K18" i="74"/>
  <c r="L18" i="74" s="1"/>
  <c r="AA18" i="74" s="1"/>
  <c r="K27" i="74"/>
  <c r="L27" i="74" s="1"/>
  <c r="AA27" i="74" s="1"/>
  <c r="K22" i="74"/>
  <c r="L22" i="74" s="1"/>
  <c r="AA22" i="74" s="1"/>
  <c r="K14" i="74"/>
  <c r="L14" i="74" s="1"/>
  <c r="AA14" i="74" s="1"/>
  <c r="K20" i="74"/>
  <c r="L20" i="74" s="1"/>
  <c r="AA20" i="74" s="1"/>
  <c r="I28" i="74"/>
  <c r="K28" i="74" s="1"/>
  <c r="L28" i="74" s="1"/>
  <c r="AA28" i="74" s="1"/>
  <c r="I39" i="74"/>
  <c r="I35" i="74"/>
  <c r="G17" i="74"/>
  <c r="H17" i="74" s="1"/>
  <c r="F13" i="73"/>
  <c r="N13" i="73"/>
  <c r="Z13" i="73" s="1"/>
  <c r="AA13" i="73" s="1"/>
  <c r="G19" i="74"/>
  <c r="H19" i="74" s="1"/>
  <c r="I19" i="74" s="1"/>
  <c r="K19" i="74" s="1"/>
  <c r="L19" i="74" s="1"/>
  <c r="AA19" i="74" s="1"/>
  <c r="F13" i="74"/>
  <c r="Z13" i="74"/>
  <c r="G16" i="71"/>
  <c r="H16" i="71" s="1"/>
  <c r="I16" i="71" s="1"/>
  <c r="K16" i="71" s="1"/>
  <c r="L16" i="71" s="1"/>
  <c r="AA16" i="71" s="1"/>
  <c r="F13" i="71"/>
  <c r="N13" i="71"/>
  <c r="Z13" i="71" s="1"/>
  <c r="M15" i="71"/>
  <c r="F14" i="71"/>
  <c r="N14" i="71"/>
  <c r="Z14" i="71" s="1"/>
  <c r="N12" i="71"/>
  <c r="Z12" i="71" s="1"/>
  <c r="F12" i="71"/>
  <c r="F25" i="61"/>
  <c r="N24" i="61"/>
  <c r="Z24" i="61" s="1"/>
  <c r="F24" i="61"/>
  <c r="F19" i="61"/>
  <c r="N19" i="61"/>
  <c r="Z19" i="61" s="1"/>
  <c r="AA23" i="79" l="1"/>
  <c r="S27" i="79" s="1"/>
  <c r="AA12" i="74"/>
  <c r="K35" i="74"/>
  <c r="L35" i="74" s="1"/>
  <c r="AA35" i="74" s="1"/>
  <c r="K39" i="74"/>
  <c r="L39" i="74" s="1"/>
  <c r="AA39" i="74" s="1"/>
  <c r="I17" i="74"/>
  <c r="K17" i="74" s="1"/>
  <c r="L17" i="74" s="1"/>
  <c r="AA17" i="74" s="1"/>
  <c r="G13" i="74"/>
  <c r="H13" i="74" s="1"/>
  <c r="I13" i="74" s="1"/>
  <c r="K13" i="74" s="1"/>
  <c r="L13" i="74" s="1"/>
  <c r="AA13" i="74" s="1"/>
  <c r="G13" i="73"/>
  <c r="H13" i="73" s="1"/>
  <c r="I13" i="73" s="1"/>
  <c r="G12" i="73"/>
  <c r="H12" i="73" s="1"/>
  <c r="I12" i="73" s="1"/>
  <c r="G14" i="71"/>
  <c r="H14" i="71" s="1"/>
  <c r="I14" i="71" s="1"/>
  <c r="K14" i="71" s="1"/>
  <c r="L14" i="71" s="1"/>
  <c r="AA14" i="71" s="1"/>
  <c r="G12" i="71"/>
  <c r="H12" i="71" s="1"/>
  <c r="I12" i="71" s="1"/>
  <c r="K12" i="71" s="1"/>
  <c r="L12" i="71" s="1"/>
  <c r="AA12" i="71" s="1"/>
  <c r="F15" i="71"/>
  <c r="N15" i="71"/>
  <c r="Z15" i="71" s="1"/>
  <c r="G13" i="71"/>
  <c r="H13" i="71" s="1"/>
  <c r="I13" i="71" s="1"/>
  <c r="K13" i="71" s="1"/>
  <c r="L13" i="71" s="1"/>
  <c r="AA13" i="71" s="1"/>
  <c r="AA26" i="79" l="1"/>
  <c r="AA49" i="74"/>
  <c r="K12" i="73"/>
  <c r="L12" i="73" s="1"/>
  <c r="AA12" i="73" s="1"/>
  <c r="AA44" i="73" s="1"/>
  <c r="G15" i="71"/>
  <c r="H15" i="71" s="1"/>
  <c r="I15" i="71" s="1"/>
  <c r="K15" i="71" s="1"/>
  <c r="L15" i="71" s="1"/>
  <c r="AA15" i="71" s="1"/>
  <c r="S53" i="74" l="1"/>
  <c r="AA52" i="74"/>
  <c r="AA22" i="71"/>
  <c r="S48" i="73" l="1"/>
  <c r="AA47" i="73"/>
  <c r="S26" i="71"/>
  <c r="AA26" i="71"/>
  <c r="B13" i="61"/>
  <c r="B14" i="61" s="1"/>
  <c r="B15" i="61" s="1"/>
  <c r="E13" i="61"/>
  <c r="E15" i="61"/>
  <c r="E14" i="61"/>
  <c r="Y34" i="61" l="1"/>
  <c r="E34" i="61"/>
  <c r="Y30" i="61" l="1"/>
  <c r="Y29" i="61" l="1"/>
  <c r="E29" i="61"/>
  <c r="Y28" i="61" l="1"/>
  <c r="E28" i="61"/>
  <c r="Y27" i="61" l="1"/>
  <c r="E27" i="61"/>
  <c r="Y26" i="61" l="1"/>
  <c r="E26" i="61"/>
  <c r="M26" i="61" l="1"/>
  <c r="M34" i="61" l="1"/>
  <c r="M27" i="61"/>
  <c r="N26" i="61"/>
  <c r="Z26" i="61" s="1"/>
  <c r="F26" i="61"/>
  <c r="N34" i="61" l="1"/>
  <c r="Z34" i="61" s="1"/>
  <c r="F34" i="61"/>
  <c r="N27" i="61"/>
  <c r="Z27" i="61" s="1"/>
  <c r="F27" i="61"/>
  <c r="M28" i="61"/>
  <c r="M30" i="61" l="1"/>
  <c r="M29" i="61"/>
  <c r="N28" i="61"/>
  <c r="Z28" i="61" s="1"/>
  <c r="F28" i="61"/>
  <c r="N29" i="61" l="1"/>
  <c r="Z29" i="61" s="1"/>
  <c r="F29" i="61"/>
  <c r="N30" i="61"/>
  <c r="Z30" i="61" s="1"/>
  <c r="F30" i="61"/>
  <c r="Y15" i="61" l="1"/>
  <c r="M15" i="61" l="1"/>
  <c r="M16" i="61"/>
  <c r="Y14" i="61"/>
  <c r="M14" i="61"/>
  <c r="N14" i="61" s="1"/>
  <c r="Y13" i="61"/>
  <c r="M13" i="61"/>
  <c r="N13" i="61" s="1"/>
  <c r="Y12" i="61"/>
  <c r="E12" i="61"/>
  <c r="Z13" i="61" l="1"/>
  <c r="Z14" i="61"/>
  <c r="F13" i="61"/>
  <c r="M12" i="61"/>
  <c r="F15" i="61"/>
  <c r="N15" i="61"/>
  <c r="Z15" i="61" s="1"/>
  <c r="F16" i="61"/>
  <c r="N16" i="61"/>
  <c r="Z16" i="61" s="1"/>
  <c r="F14" i="61"/>
  <c r="L3" i="61"/>
  <c r="G32" i="61" l="1"/>
  <c r="H32" i="61" s="1"/>
  <c r="I32" i="61" s="1"/>
  <c r="K32" i="61" s="1"/>
  <c r="L32" i="61" s="1"/>
  <c r="AA32" i="61" s="1"/>
  <c r="G33" i="61"/>
  <c r="H33" i="61" s="1"/>
  <c r="I33" i="61" s="1"/>
  <c r="K33" i="61" s="1"/>
  <c r="L33" i="61" s="1"/>
  <c r="AA33" i="61" s="1"/>
  <c r="G18" i="61"/>
  <c r="H18" i="61" s="1"/>
  <c r="I18" i="61" s="1"/>
  <c r="K18" i="61" s="1"/>
  <c r="L18" i="61" s="1"/>
  <c r="AA18" i="61" s="1"/>
  <c r="G25" i="61"/>
  <c r="H25" i="61" s="1"/>
  <c r="I25" i="61" s="1"/>
  <c r="K25" i="61" s="1"/>
  <c r="L25" i="61" s="1"/>
  <c r="AA25" i="61" s="1"/>
  <c r="G24" i="61"/>
  <c r="H24" i="61" s="1"/>
  <c r="I24" i="61" s="1"/>
  <c r="K24" i="61" s="1"/>
  <c r="L24" i="61" s="1"/>
  <c r="AA24" i="61" s="1"/>
  <c r="G19" i="61"/>
  <c r="H19" i="61" s="1"/>
  <c r="I19" i="61" s="1"/>
  <c r="K19" i="61" s="1"/>
  <c r="L19" i="61" s="1"/>
  <c r="AA19" i="61" s="1"/>
  <c r="G26" i="61"/>
  <c r="H26" i="61" s="1"/>
  <c r="I26" i="61" s="1"/>
  <c r="K26" i="61" s="1"/>
  <c r="L26" i="61" s="1"/>
  <c r="AA26" i="61" s="1"/>
  <c r="G27" i="61"/>
  <c r="H27" i="61" s="1"/>
  <c r="I27" i="61" s="1"/>
  <c r="K27" i="61" s="1"/>
  <c r="L27" i="61" s="1"/>
  <c r="AA27" i="61" s="1"/>
  <c r="G34" i="61"/>
  <c r="H34" i="61" s="1"/>
  <c r="I34" i="61" s="1"/>
  <c r="K34" i="61" s="1"/>
  <c r="L34" i="61" s="1"/>
  <c r="AA34" i="61" s="1"/>
  <c r="G28" i="61"/>
  <c r="H28" i="61" s="1"/>
  <c r="I28" i="61" s="1"/>
  <c r="K28" i="61" s="1"/>
  <c r="L28" i="61" s="1"/>
  <c r="AA28" i="61" s="1"/>
  <c r="G29" i="61"/>
  <c r="H29" i="61" s="1"/>
  <c r="I29" i="61" s="1"/>
  <c r="K29" i="61" s="1"/>
  <c r="L29" i="61" s="1"/>
  <c r="AA29" i="61" s="1"/>
  <c r="G30" i="61"/>
  <c r="H30" i="61" s="1"/>
  <c r="I30" i="61" s="1"/>
  <c r="K30" i="61" s="1"/>
  <c r="L30" i="61" s="1"/>
  <c r="AA30" i="61" s="1"/>
  <c r="G14" i="61"/>
  <c r="H14" i="61" s="1"/>
  <c r="I14" i="61" s="1"/>
  <c r="G16" i="61"/>
  <c r="H16" i="61" s="1"/>
  <c r="I16" i="61" s="1"/>
  <c r="K16" i="61" s="1"/>
  <c r="L16" i="61" s="1"/>
  <c r="AA16" i="61" s="1"/>
  <c r="G13" i="61"/>
  <c r="H13" i="61" s="1"/>
  <c r="I13" i="61" s="1"/>
  <c r="N12" i="61"/>
  <c r="Z12" i="61" s="1"/>
  <c r="F12" i="61"/>
  <c r="G15" i="61"/>
  <c r="H15" i="61" s="1"/>
  <c r="I15" i="61" s="1"/>
  <c r="K15" i="61" s="1"/>
  <c r="L15" i="61" s="1"/>
  <c r="AA15" i="61" s="1"/>
  <c r="AA36" i="61" l="1"/>
  <c r="S41" i="61" s="1"/>
  <c r="K14" i="61"/>
  <c r="L14" i="61" s="1"/>
  <c r="AA14" i="61" s="1"/>
  <c r="K13" i="61"/>
  <c r="L13" i="61" s="1"/>
  <c r="AA13" i="61" s="1"/>
  <c r="G12" i="61"/>
  <c r="H12" i="61" s="1"/>
  <c r="I12" i="61" s="1"/>
  <c r="K12" i="61" s="1"/>
  <c r="L12" i="61" s="1"/>
  <c r="AA12" i="61" s="1"/>
  <c r="AA21" i="61" l="1"/>
  <c r="S40" i="61" s="1"/>
  <c r="AA61" i="78"/>
  <c r="S62" i="78"/>
</calcChain>
</file>

<file path=xl/sharedStrings.xml><?xml version="1.0" encoding="utf-8"?>
<sst xmlns="http://schemas.openxmlformats.org/spreadsheetml/2006/main" count="714" uniqueCount="114">
  <si>
    <t>pertes de</t>
  </si>
  <si>
    <t/>
  </si>
  <si>
    <t xml:space="preserve"> </t>
  </si>
  <si>
    <t>pression</t>
  </si>
  <si>
    <t>charge</t>
  </si>
  <si>
    <t>tronçon</t>
  </si>
  <si>
    <t>débit</t>
  </si>
  <si>
    <t>L</t>
  </si>
  <si>
    <t>J</t>
  </si>
  <si>
    <t>LxJ</t>
  </si>
  <si>
    <t>vit</t>
  </si>
  <si>
    <t>dynamique</t>
  </si>
  <si>
    <t>désignation</t>
  </si>
  <si>
    <t>totales</t>
  </si>
  <si>
    <t>m3/h</t>
  </si>
  <si>
    <t>Long</t>
  </si>
  <si>
    <t>larg</t>
  </si>
  <si>
    <t>m</t>
  </si>
  <si>
    <t>m/s</t>
  </si>
  <si>
    <t>mm</t>
  </si>
  <si>
    <t>section</t>
  </si>
  <si>
    <t>Pa</t>
  </si>
  <si>
    <t xml:space="preserve">Pa/m </t>
  </si>
  <si>
    <t xml:space="preserve">Te divergent </t>
  </si>
  <si>
    <t>Te convergent</t>
  </si>
  <si>
    <t>rond carre</t>
  </si>
  <si>
    <t>Reduction</t>
  </si>
  <si>
    <t xml:space="preserve">Bouche </t>
  </si>
  <si>
    <t>20 Pa</t>
  </si>
  <si>
    <t>Re</t>
  </si>
  <si>
    <t>Fa</t>
  </si>
  <si>
    <t>m²/s</t>
  </si>
  <si>
    <r>
      <rPr>
        <sz val="14"/>
        <rFont val="Symbol"/>
        <family val="1"/>
        <charset val="2"/>
      </rPr>
      <t>n</t>
    </r>
    <r>
      <rPr>
        <sz val="10"/>
        <rFont val="Arial"/>
        <family val="2"/>
      </rPr>
      <t>air 20°C=</t>
    </r>
  </si>
  <si>
    <r>
      <rPr>
        <sz val="14"/>
        <rFont val="Symbol"/>
        <family val="1"/>
        <charset val="2"/>
      </rPr>
      <t>e</t>
    </r>
    <r>
      <rPr>
        <sz val="10"/>
        <rFont val="Arial"/>
        <family val="2"/>
      </rPr>
      <t>gaine tole</t>
    </r>
    <r>
      <rPr>
        <sz val="10"/>
        <rFont val="Symbol"/>
        <family val="1"/>
        <charset val="2"/>
      </rPr>
      <t>=</t>
    </r>
  </si>
  <si>
    <r>
      <rPr>
        <sz val="18"/>
        <rFont val="Symbol"/>
        <family val="1"/>
        <charset val="2"/>
      </rPr>
      <t>r</t>
    </r>
    <r>
      <rPr>
        <sz val="10"/>
        <rFont val="Arial"/>
        <family val="2"/>
      </rPr>
      <t>air 20°C=</t>
    </r>
  </si>
  <si>
    <t>kg/m3</t>
  </si>
  <si>
    <t>Fa*</t>
  </si>
  <si>
    <t>Ø ou Ø eq</t>
  </si>
  <si>
    <t>coude</t>
  </si>
  <si>
    <t>3D</t>
  </si>
  <si>
    <t>45°</t>
  </si>
  <si>
    <t>90°</t>
  </si>
  <si>
    <t>reduction</t>
  </si>
  <si>
    <t>Te</t>
  </si>
  <si>
    <t>Convergent</t>
  </si>
  <si>
    <t>Derivation</t>
  </si>
  <si>
    <t>e=</t>
  </si>
  <si>
    <t>direct</t>
  </si>
  <si>
    <t>indirect</t>
  </si>
  <si>
    <t>Singularité</t>
  </si>
  <si>
    <t>rect</t>
  </si>
  <si>
    <r>
      <t>r</t>
    </r>
    <r>
      <rPr>
        <sz val="12"/>
        <rFont val="Arial"/>
        <family val="2"/>
      </rPr>
      <t>.v²/2</t>
    </r>
    <r>
      <rPr>
        <sz val="12"/>
        <rFont val="Symbol"/>
        <family val="1"/>
        <charset val="2"/>
      </rPr>
      <t>=</t>
    </r>
  </si>
  <si>
    <r>
      <t>e r</t>
    </r>
    <r>
      <rPr>
        <sz val="12"/>
        <rFont val="Arial"/>
        <family val="2"/>
      </rPr>
      <t>.v²/2</t>
    </r>
    <r>
      <rPr>
        <sz val="12"/>
        <rFont val="Symbol"/>
        <family val="1"/>
        <charset val="2"/>
      </rPr>
      <t>=</t>
    </r>
  </si>
  <si>
    <t xml:space="preserve">e </t>
  </si>
  <si>
    <t>Qté</t>
  </si>
  <si>
    <t>bouche</t>
  </si>
  <si>
    <t xml:space="preserve">materiel </t>
  </si>
  <si>
    <t xml:space="preserve">Soufflage </t>
  </si>
  <si>
    <t>Reprise</t>
  </si>
  <si>
    <t xml:space="preserve">piege a son </t>
  </si>
  <si>
    <t>grille rejet</t>
  </si>
  <si>
    <t>grille Asm 2538 5F</t>
  </si>
  <si>
    <t>Air Neuf</t>
  </si>
  <si>
    <t>piege a son +registre</t>
  </si>
  <si>
    <t>Point-01</t>
  </si>
  <si>
    <t>Point-02</t>
  </si>
  <si>
    <t>Point-03</t>
  </si>
  <si>
    <t>Point-04</t>
  </si>
  <si>
    <t>Point-05</t>
  </si>
  <si>
    <t>Point 01</t>
  </si>
  <si>
    <t>Point 02</t>
  </si>
  <si>
    <t>Point 03</t>
  </si>
  <si>
    <t xml:space="preserve">Clapet Coupe feu + grillage </t>
  </si>
  <si>
    <t>Clapet Coupe feu + Piege a son</t>
  </si>
  <si>
    <t>PERTES  DE  CHARGE  AERAULIQUES CTA RESTAURANT</t>
  </si>
  <si>
    <t>Point-06</t>
  </si>
  <si>
    <t>Point-07</t>
  </si>
  <si>
    <t>Rejet</t>
  </si>
  <si>
    <t>Clapet Coupe feu + CAR</t>
  </si>
  <si>
    <t>SOUFFLAGE</t>
  </si>
  <si>
    <t>REPRISE</t>
  </si>
  <si>
    <t>1400m3/h</t>
  </si>
  <si>
    <t>Régularité</t>
  </si>
  <si>
    <t>PERTES  DE  CHARGE  AERAULIQUES CTA COMPENSATION</t>
  </si>
  <si>
    <t>grille hotte</t>
  </si>
  <si>
    <t>2 Clapet Coupe feu + 2 Piege a son</t>
  </si>
  <si>
    <t>Soufflage + aspiration</t>
  </si>
  <si>
    <t>PdC Singuliere</t>
  </si>
  <si>
    <t>PdC Lineaire</t>
  </si>
  <si>
    <t>Tès</t>
  </si>
  <si>
    <t>Coude</t>
  </si>
  <si>
    <t>Transformation</t>
  </si>
  <si>
    <t>Soufflage</t>
  </si>
  <si>
    <t>Bouche</t>
  </si>
  <si>
    <t>0,68</t>
  </si>
  <si>
    <t>1,75</t>
  </si>
  <si>
    <t>4,60</t>
  </si>
  <si>
    <t>4,35</t>
  </si>
  <si>
    <t>1,25</t>
  </si>
  <si>
    <t>4,36</t>
  </si>
  <si>
    <t>2,82</t>
  </si>
  <si>
    <t>2,71</t>
  </si>
  <si>
    <t>2,86</t>
  </si>
  <si>
    <t>2,73</t>
  </si>
  <si>
    <t>2,69</t>
  </si>
  <si>
    <t>3,18</t>
  </si>
  <si>
    <t>4,93</t>
  </si>
  <si>
    <t>1,82</t>
  </si>
  <si>
    <t>10,32</t>
  </si>
  <si>
    <t>9,11</t>
  </si>
  <si>
    <t>12,42</t>
  </si>
  <si>
    <t>23</t>
  </si>
  <si>
    <t>7</t>
  </si>
  <si>
    <t>Reprise Bas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</si>
</sst>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_)"/>
    <numFmt numFmtId="165" formatCode="0.0_)"/>
    <numFmt numFmtId="166" formatCode="0.00_)"/>
    <numFmt numFmtId="167" formatCode="#,##0_);\(#,##0\)"/>
    <numFmt numFmtId="168" formatCode="#,##0.0"/>
    <numFmt numFmtId="169" formatCode="#,##0.00\ &quot;kw&quot;;[Red]\-#,##0.00\ &quot;kw&quot;"/>
    <numFmt numFmtId="170" formatCode="0.000_)"/>
  </numFmts>
  <fonts count="31" x14ac:knownFonts="1">
    <font>
      <sz val="10"/>
      <name val="Arial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Courier"/>
      <family val="3"/>
    </font>
    <font>
      <sz val="11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0"/>
      <name val="Symbol"/>
      <family val="1"/>
      <charset val="2"/>
    </font>
    <font>
      <sz val="14"/>
      <name val="Symbol"/>
      <family val="1"/>
      <charset val="2"/>
    </font>
    <font>
      <sz val="18"/>
      <name val="Symbol"/>
      <family val="1"/>
      <charset val="2"/>
    </font>
    <font>
      <sz val="12"/>
      <name val="Symbol"/>
      <family val="1"/>
      <charset val="2"/>
    </font>
    <font>
      <sz val="8"/>
      <name val="Arial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8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medium">
        <color indexed="64"/>
      </right>
      <top/>
      <bottom/>
      <diagonal/>
    </border>
    <border>
      <left style="thin">
        <color indexed="8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20" borderId="1" applyNumberFormat="0" applyAlignment="0" applyProtection="0"/>
    <xf numFmtId="0" fontId="13" fillId="0" borderId="2" applyNumberFormat="0" applyFill="0" applyAlignment="0" applyProtection="0"/>
    <xf numFmtId="0" fontId="6" fillId="21" borderId="3" applyNumberFormat="0" applyFont="0" applyAlignment="0" applyProtection="0"/>
    <xf numFmtId="0" fontId="14" fillId="7" borderId="1" applyNumberFormat="0" applyAlignment="0" applyProtection="0"/>
    <xf numFmtId="169" fontId="3" fillId="0" borderId="0" applyFont="0" applyFill="0" applyBorder="0" applyAlignment="0" applyProtection="0"/>
    <xf numFmtId="0" fontId="15" fillId="3" borderId="0" applyNumberFormat="0" applyBorder="0" applyAlignment="0" applyProtection="0"/>
    <xf numFmtId="0" fontId="16" fillId="22" borderId="0" applyNumberFormat="0" applyBorder="0" applyAlignment="0" applyProtection="0"/>
    <xf numFmtId="0" fontId="5" fillId="0" borderId="0"/>
    <xf numFmtId="0" fontId="17" fillId="4" borderId="0" applyNumberFormat="0" applyBorder="0" applyAlignment="0" applyProtection="0"/>
    <xf numFmtId="0" fontId="18" fillId="20" borderId="4" applyNumberFormat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8" applyNumberFormat="0" applyFill="0" applyAlignment="0" applyProtection="0"/>
    <xf numFmtId="0" fontId="25" fillId="23" borderId="9" applyNumberFormat="0" applyAlignment="0" applyProtection="0"/>
  </cellStyleXfs>
  <cellXfs count="162">
    <xf numFmtId="0" fontId="0" fillId="0" borderId="0" xfId="0"/>
    <xf numFmtId="0" fontId="0" fillId="24" borderId="27" xfId="0" applyFill="1" applyBorder="1" applyAlignment="1">
      <alignment vertical="center"/>
    </xf>
    <xf numFmtId="0" fontId="3" fillId="0" borderId="0" xfId="0" applyFont="1" applyAlignment="1">
      <alignment vertical="center"/>
    </xf>
    <xf numFmtId="2" fontId="3" fillId="0" borderId="0" xfId="0" applyNumberFormat="1" applyFont="1" applyAlignment="1">
      <alignment vertical="center"/>
    </xf>
    <xf numFmtId="166" fontId="3" fillId="0" borderId="0" xfId="0" applyNumberFormat="1" applyFont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165" fontId="3" fillId="0" borderId="0" xfId="0" applyNumberFormat="1" applyFont="1" applyBorder="1" applyAlignment="1" applyProtection="1">
      <alignment horizontal="center" vertical="center"/>
    </xf>
    <xf numFmtId="0" fontId="0" fillId="0" borderId="0" xfId="0" applyAlignment="1">
      <alignment vertical="center"/>
    </xf>
    <xf numFmtId="0" fontId="3" fillId="0" borderId="10" xfId="0" applyFont="1" applyBorder="1" applyAlignment="1" applyProtection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8" xfId="0" applyFont="1" applyBorder="1" applyAlignment="1" applyProtection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3" fontId="3" fillId="0" borderId="10" xfId="0" applyNumberFormat="1" applyFont="1" applyBorder="1" applyAlignment="1" applyProtection="1">
      <alignment horizontal="center" vertical="center"/>
    </xf>
    <xf numFmtId="0" fontId="3" fillId="0" borderId="12" xfId="0" applyFont="1" applyBorder="1" applyAlignment="1" applyProtection="1">
      <alignment horizontal="center" vertical="center"/>
    </xf>
    <xf numFmtId="0" fontId="1" fillId="0" borderId="0" xfId="0" applyFont="1" applyAlignment="1">
      <alignment vertical="center"/>
    </xf>
    <xf numFmtId="3" fontId="3" fillId="0" borderId="10" xfId="0" applyNumberFormat="1" applyFont="1" applyBorder="1" applyAlignment="1" applyProtection="1">
      <alignment vertical="center"/>
    </xf>
    <xf numFmtId="0" fontId="3" fillId="0" borderId="17" xfId="0" applyFont="1" applyBorder="1" applyAlignment="1" applyProtection="1">
      <alignment horizontal="center" vertical="center"/>
    </xf>
    <xf numFmtId="4" fontId="3" fillId="0" borderId="10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 vertical="center"/>
    </xf>
    <xf numFmtId="167" fontId="8" fillId="0" borderId="15" xfId="0" applyNumberFormat="1" applyFont="1" applyFill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vertical="center"/>
    </xf>
    <xf numFmtId="0" fontId="3" fillId="0" borderId="19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vertical="center"/>
    </xf>
    <xf numFmtId="2" fontId="3" fillId="0" borderId="0" xfId="0" applyNumberFormat="1" applyFont="1" applyAlignment="1">
      <alignment horizontal="center" vertical="center"/>
    </xf>
    <xf numFmtId="0" fontId="3" fillId="0" borderId="21" xfId="0" applyFont="1" applyBorder="1" applyAlignment="1" applyProtection="1">
      <alignment horizontal="center" vertical="center"/>
    </xf>
    <xf numFmtId="3" fontId="3" fillId="0" borderId="0" xfId="0" applyNumberFormat="1" applyFont="1" applyBorder="1" applyAlignment="1" applyProtection="1">
      <alignment vertical="center"/>
    </xf>
    <xf numFmtId="164" fontId="3" fillId="0" borderId="0" xfId="0" applyNumberFormat="1" applyFont="1" applyBorder="1" applyAlignment="1" applyProtection="1">
      <alignment vertical="center"/>
    </xf>
    <xf numFmtId="0" fontId="4" fillId="0" borderId="11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left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24" xfId="0" applyFont="1" applyBorder="1" applyAlignment="1" applyProtection="1">
      <alignment horizontal="center" vertical="center"/>
    </xf>
    <xf numFmtId="0" fontId="3" fillId="0" borderId="30" xfId="0" applyFont="1" applyBorder="1" applyAlignment="1" applyProtection="1">
      <alignment vertical="center"/>
    </xf>
    <xf numFmtId="3" fontId="3" fillId="0" borderId="25" xfId="0" applyNumberFormat="1" applyFont="1" applyBorder="1" applyAlignment="1" applyProtection="1">
      <alignment vertical="center"/>
    </xf>
    <xf numFmtId="0" fontId="4" fillId="0" borderId="25" xfId="0" applyFont="1" applyBorder="1" applyAlignment="1" applyProtection="1">
      <alignment vertical="center"/>
    </xf>
    <xf numFmtId="0" fontId="4" fillId="0" borderId="25" xfId="0" applyFont="1" applyBorder="1" applyAlignment="1" applyProtection="1">
      <alignment horizontal="center" vertical="center"/>
    </xf>
    <xf numFmtId="0" fontId="3" fillId="0" borderId="25" xfId="0" applyFont="1" applyBorder="1" applyAlignment="1" applyProtection="1">
      <alignment horizontal="center" vertical="center"/>
    </xf>
    <xf numFmtId="0" fontId="3" fillId="0" borderId="25" xfId="0" applyFont="1" applyBorder="1" applyAlignment="1" applyProtection="1">
      <alignment vertical="center"/>
    </xf>
    <xf numFmtId="3" fontId="0" fillId="0" borderId="0" xfId="0" applyNumberFormat="1" applyAlignment="1">
      <alignment vertical="center"/>
    </xf>
    <xf numFmtId="4" fontId="0" fillId="0" borderId="0" xfId="0" applyNumberFormat="1" applyAlignment="1">
      <alignment vertical="center"/>
    </xf>
    <xf numFmtId="4" fontId="2" fillId="24" borderId="22" xfId="0" applyNumberFormat="1" applyFont="1" applyFill="1" applyBorder="1" applyAlignment="1" applyProtection="1">
      <alignment vertical="center"/>
    </xf>
    <xf numFmtId="0" fontId="0" fillId="0" borderId="25" xfId="0" applyBorder="1" applyAlignment="1">
      <alignment vertical="center"/>
    </xf>
    <xf numFmtId="0" fontId="3" fillId="0" borderId="19" xfId="0" applyFont="1" applyBorder="1" applyAlignment="1" applyProtection="1">
      <alignment vertical="center"/>
    </xf>
    <xf numFmtId="4" fontId="3" fillId="0" borderId="33" xfId="0" applyNumberFormat="1" applyFont="1" applyBorder="1" applyAlignment="1" applyProtection="1">
      <alignment horizontal="center" vertical="center"/>
    </xf>
    <xf numFmtId="3" fontId="3" fillId="0" borderId="34" xfId="0" applyNumberFormat="1" applyFont="1" applyBorder="1" applyAlignment="1" applyProtection="1">
      <alignment horizontal="center" vertical="center"/>
    </xf>
    <xf numFmtId="0" fontId="3" fillId="0" borderId="26" xfId="0" applyFont="1" applyBorder="1" applyAlignment="1" applyProtection="1">
      <alignment horizontal="center" vertical="center"/>
    </xf>
    <xf numFmtId="0" fontId="3" fillId="0" borderId="34" xfId="0" applyFont="1" applyBorder="1" applyAlignment="1" applyProtection="1">
      <alignment horizontal="center" vertical="center"/>
    </xf>
    <xf numFmtId="0" fontId="3" fillId="0" borderId="26" xfId="0" applyFont="1" applyBorder="1" applyAlignment="1" applyProtection="1">
      <alignment vertical="center"/>
    </xf>
    <xf numFmtId="4" fontId="3" fillId="0" borderId="34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4" fillId="0" borderId="24" xfId="0" applyNumberFormat="1" applyFont="1" applyBorder="1" applyAlignment="1" applyProtection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</xf>
    <xf numFmtId="3" fontId="3" fillId="0" borderId="18" xfId="0" applyNumberFormat="1" applyFont="1" applyFill="1" applyBorder="1" applyAlignment="1" applyProtection="1">
      <alignment horizontal="center" vertical="center"/>
    </xf>
    <xf numFmtId="164" fontId="3" fillId="0" borderId="12" xfId="0" applyNumberFormat="1" applyFont="1" applyFill="1" applyBorder="1" applyAlignment="1" applyProtection="1">
      <alignment horizontal="center" vertical="center"/>
    </xf>
    <xf numFmtId="164" fontId="3" fillId="0" borderId="18" xfId="0" applyNumberFormat="1" applyFont="1" applyFill="1" applyBorder="1" applyAlignment="1" applyProtection="1">
      <alignment horizontal="center" vertical="center"/>
    </xf>
    <xf numFmtId="170" fontId="3" fillId="0" borderId="18" xfId="0" applyNumberFormat="1" applyFont="1" applyFill="1" applyBorder="1" applyAlignment="1" applyProtection="1">
      <alignment horizontal="center" vertical="center"/>
    </xf>
    <xf numFmtId="166" fontId="3" fillId="0" borderId="18" xfId="0" applyNumberFormat="1" applyFont="1" applyFill="1" applyBorder="1" applyAlignment="1" applyProtection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0" fontId="3" fillId="0" borderId="16" xfId="0" applyFont="1" applyFill="1" applyBorder="1" applyAlignment="1" applyProtection="1">
      <alignment horizontal="center" vertical="center"/>
    </xf>
    <xf numFmtId="166" fontId="4" fillId="0" borderId="18" xfId="0" applyNumberFormat="1" applyFont="1" applyFill="1" applyBorder="1" applyAlignment="1" applyProtection="1">
      <alignment horizontal="center" vertical="center"/>
    </xf>
    <xf numFmtId="164" fontId="4" fillId="0" borderId="24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2" fontId="3" fillId="0" borderId="0" xfId="0" applyNumberFormat="1" applyFont="1" applyFill="1" applyAlignment="1">
      <alignment horizontal="center" vertical="center"/>
    </xf>
    <xf numFmtId="165" fontId="3" fillId="0" borderId="18" xfId="0" applyNumberFormat="1" applyFont="1" applyFill="1" applyBorder="1" applyAlignment="1" applyProtection="1">
      <alignment horizontal="center" vertical="center"/>
    </xf>
    <xf numFmtId="0" fontId="3" fillId="0" borderId="16" xfId="0" applyFont="1" applyFill="1" applyBorder="1" applyAlignment="1" applyProtection="1">
      <alignment horizontal="center" vertical="center" wrapText="1"/>
    </xf>
    <xf numFmtId="0" fontId="3" fillId="0" borderId="20" xfId="0" applyFont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</xf>
    <xf numFmtId="0" fontId="0" fillId="24" borderId="23" xfId="0" applyFill="1" applyBorder="1" applyAlignment="1">
      <alignment vertical="center"/>
    </xf>
    <xf numFmtId="4" fontId="3" fillId="0" borderId="35" xfId="0" applyNumberFormat="1" applyFont="1" applyBorder="1" applyAlignment="1" applyProtection="1">
      <alignment horizontal="center" vertical="center"/>
    </xf>
    <xf numFmtId="4" fontId="3" fillId="0" borderId="36" xfId="0" applyNumberFormat="1" applyFont="1" applyBorder="1" applyAlignment="1" applyProtection="1">
      <alignment horizontal="center" vertical="center"/>
    </xf>
    <xf numFmtId="0" fontId="3" fillId="0" borderId="29" xfId="0" applyFont="1" applyBorder="1" applyAlignment="1" applyProtection="1">
      <alignment vertical="center"/>
    </xf>
    <xf numFmtId="4" fontId="3" fillId="0" borderId="37" xfId="0" applyNumberFormat="1" applyFont="1" applyBorder="1" applyAlignment="1" applyProtection="1">
      <alignment horizontal="center" vertical="center"/>
    </xf>
    <xf numFmtId="0" fontId="3" fillId="0" borderId="0" xfId="0" applyFont="1" applyBorder="1" applyAlignment="1">
      <alignment vertical="center"/>
    </xf>
    <xf numFmtId="0" fontId="3" fillId="0" borderId="20" xfId="0" applyFont="1" applyBorder="1" applyAlignment="1" applyProtection="1">
      <alignment horizontal="center" vertical="center"/>
    </xf>
    <xf numFmtId="0" fontId="3" fillId="0" borderId="32" xfId="0" applyFont="1" applyFill="1" applyBorder="1" applyAlignment="1" applyProtection="1">
      <alignment horizontal="center" vertical="center"/>
    </xf>
    <xf numFmtId="3" fontId="3" fillId="0" borderId="17" xfId="0" applyNumberFormat="1" applyFont="1" applyFill="1" applyBorder="1" applyAlignment="1" applyProtection="1">
      <alignment horizontal="center" vertical="center"/>
    </xf>
    <xf numFmtId="0" fontId="3" fillId="0" borderId="13" xfId="0" applyFont="1" applyFill="1" applyBorder="1" applyAlignment="1" applyProtection="1">
      <alignment horizontal="center" vertical="center"/>
    </xf>
    <xf numFmtId="0" fontId="3" fillId="0" borderId="17" xfId="0" applyFont="1" applyFill="1" applyBorder="1" applyAlignment="1" applyProtection="1">
      <alignment horizontal="center" vertical="center"/>
    </xf>
    <xf numFmtId="0" fontId="3" fillId="0" borderId="15" xfId="0" applyFont="1" applyFill="1" applyBorder="1" applyAlignment="1" applyProtection="1">
      <alignment horizontal="center" vertical="center"/>
    </xf>
    <xf numFmtId="0" fontId="4" fillId="0" borderId="14" xfId="0" applyFont="1" applyFill="1" applyBorder="1" applyAlignment="1" applyProtection="1">
      <alignment horizontal="center" vertical="center"/>
    </xf>
    <xf numFmtId="0" fontId="3" fillId="0" borderId="14" xfId="0" applyFont="1" applyFill="1" applyBorder="1" applyAlignment="1" applyProtection="1">
      <alignment horizontal="center" vertical="center"/>
    </xf>
    <xf numFmtId="0" fontId="3" fillId="25" borderId="32" xfId="0" applyFont="1" applyFill="1" applyBorder="1" applyAlignment="1" applyProtection="1">
      <alignment horizontal="center" vertical="center"/>
    </xf>
    <xf numFmtId="3" fontId="3" fillId="25" borderId="17" xfId="0" applyNumberFormat="1" applyFont="1" applyFill="1" applyBorder="1" applyAlignment="1" applyProtection="1">
      <alignment horizontal="center" vertical="center"/>
    </xf>
    <xf numFmtId="0" fontId="3" fillId="25" borderId="13" xfId="0" applyFont="1" applyFill="1" applyBorder="1" applyAlignment="1" applyProtection="1">
      <alignment horizontal="center" vertical="center"/>
    </xf>
    <xf numFmtId="0" fontId="3" fillId="25" borderId="17" xfId="0" applyFont="1" applyFill="1" applyBorder="1" applyAlignment="1" applyProtection="1">
      <alignment horizontal="center" vertical="center"/>
    </xf>
    <xf numFmtId="0" fontId="3" fillId="25" borderId="15" xfId="0" applyFont="1" applyFill="1" applyBorder="1" applyAlignment="1" applyProtection="1">
      <alignment horizontal="center" vertical="center"/>
    </xf>
    <xf numFmtId="0" fontId="4" fillId="25" borderId="14" xfId="0" applyFont="1" applyFill="1" applyBorder="1" applyAlignment="1" applyProtection="1">
      <alignment horizontal="center" vertical="center"/>
    </xf>
    <xf numFmtId="0" fontId="3" fillId="25" borderId="14" xfId="0" applyFont="1" applyFill="1" applyBorder="1" applyAlignment="1" applyProtection="1">
      <alignment horizontal="center" vertical="center"/>
    </xf>
    <xf numFmtId="4" fontId="3" fillId="25" borderId="17" xfId="0" applyNumberFormat="1" applyFont="1" applyFill="1" applyBorder="1" applyAlignment="1" applyProtection="1">
      <alignment horizontal="center" vertical="center"/>
    </xf>
    <xf numFmtId="4" fontId="3" fillId="25" borderId="28" xfId="0" applyNumberFormat="1" applyFont="1" applyFill="1" applyBorder="1" applyAlignment="1" applyProtection="1">
      <alignment horizontal="center" vertical="center"/>
    </xf>
    <xf numFmtId="166" fontId="4" fillId="0" borderId="12" xfId="0" applyNumberFormat="1" applyFont="1" applyFill="1" applyBorder="1" applyAlignment="1" applyProtection="1">
      <alignment horizontal="center" vertical="center"/>
    </xf>
    <xf numFmtId="164" fontId="4" fillId="0" borderId="38" xfId="0" applyNumberFormat="1" applyFont="1" applyFill="1" applyBorder="1" applyAlignment="1" applyProtection="1">
      <alignment horizontal="center" vertical="center"/>
    </xf>
    <xf numFmtId="164" fontId="4" fillId="0" borderId="0" xfId="0" applyNumberFormat="1" applyFont="1" applyBorder="1" applyAlignment="1" applyProtection="1">
      <alignment horizontal="center" vertical="center"/>
    </xf>
    <xf numFmtId="0" fontId="3" fillId="0" borderId="22" xfId="0" applyFont="1" applyBorder="1" applyAlignment="1" applyProtection="1">
      <alignment vertical="center"/>
    </xf>
    <xf numFmtId="3" fontId="3" fillId="0" borderId="27" xfId="0" applyNumberFormat="1" applyFont="1" applyBorder="1" applyAlignment="1" applyProtection="1">
      <alignment vertical="center"/>
    </xf>
    <xf numFmtId="164" fontId="3" fillId="0" borderId="27" xfId="0" applyNumberFormat="1" applyFont="1" applyBorder="1" applyAlignment="1" applyProtection="1">
      <alignment vertical="center"/>
    </xf>
    <xf numFmtId="165" fontId="3" fillId="0" borderId="27" xfId="0" applyNumberFormat="1" applyFont="1" applyBorder="1" applyAlignment="1" applyProtection="1">
      <alignment horizontal="center" vertical="center"/>
    </xf>
    <xf numFmtId="166" fontId="3" fillId="0" borderId="27" xfId="0" applyNumberFormat="1" applyFont="1" applyBorder="1" applyAlignment="1" applyProtection="1">
      <alignment horizontal="center" vertical="center"/>
    </xf>
    <xf numFmtId="0" fontId="3" fillId="0" borderId="27" xfId="0" applyFont="1" applyBorder="1" applyAlignment="1" applyProtection="1">
      <alignment horizontal="center" vertical="center"/>
    </xf>
    <xf numFmtId="166" fontId="3" fillId="0" borderId="27" xfId="0" applyNumberFormat="1" applyFont="1" applyBorder="1" applyAlignment="1" applyProtection="1">
      <alignment vertical="center"/>
    </xf>
    <xf numFmtId="4" fontId="3" fillId="0" borderId="23" xfId="0" applyNumberFormat="1" applyFont="1" applyBorder="1" applyAlignment="1" applyProtection="1">
      <alignment vertical="center"/>
    </xf>
    <xf numFmtId="0" fontId="3" fillId="0" borderId="24" xfId="0" applyFont="1" applyBorder="1" applyAlignment="1" applyProtection="1">
      <alignment vertical="center"/>
    </xf>
    <xf numFmtId="0" fontId="3" fillId="0" borderId="31" xfId="0" applyFont="1" applyBorder="1" applyAlignment="1" applyProtection="1">
      <alignment vertical="center"/>
    </xf>
    <xf numFmtId="0" fontId="0" fillId="0" borderId="0" xfId="0" applyFill="1" applyBorder="1" applyAlignment="1">
      <alignment vertical="center"/>
    </xf>
    <xf numFmtId="0" fontId="1" fillId="0" borderId="27" xfId="0" applyFont="1" applyBorder="1" applyAlignment="1" applyProtection="1">
      <alignment vertical="center"/>
    </xf>
    <xf numFmtId="4" fontId="1" fillId="0" borderId="23" xfId="0" applyNumberFormat="1" applyFont="1" applyBorder="1" applyAlignment="1" applyProtection="1">
      <alignment vertical="center"/>
    </xf>
    <xf numFmtId="0" fontId="3" fillId="0" borderId="0" xfId="0" applyFont="1" applyBorder="1" applyAlignment="1">
      <alignment horizontal="center" vertical="center"/>
    </xf>
    <xf numFmtId="4" fontId="3" fillId="25" borderId="39" xfId="0" applyNumberFormat="1" applyFont="1" applyFill="1" applyBorder="1" applyAlignment="1" applyProtection="1">
      <alignment horizontal="center" vertical="center"/>
    </xf>
    <xf numFmtId="0" fontId="7" fillId="0" borderId="30" xfId="0" applyFont="1" applyBorder="1" applyAlignment="1" applyProtection="1">
      <alignment horizontal="center" vertical="center"/>
    </xf>
    <xf numFmtId="3" fontId="3" fillId="0" borderId="40" xfId="0" applyNumberFormat="1" applyFont="1" applyBorder="1" applyAlignment="1" applyProtection="1">
      <alignment horizontal="center" vertical="center"/>
    </xf>
    <xf numFmtId="164" fontId="3" fillId="0" borderId="41" xfId="0" applyNumberFormat="1" applyFont="1" applyBorder="1" applyAlignment="1" applyProtection="1">
      <alignment horizontal="center" vertical="center"/>
    </xf>
    <xf numFmtId="164" fontId="3" fillId="0" borderId="40" xfId="0" applyNumberFormat="1" applyFont="1" applyBorder="1" applyAlignment="1" applyProtection="1">
      <alignment horizontal="center" vertical="center"/>
    </xf>
    <xf numFmtId="164" fontId="3" fillId="0" borderId="42" xfId="0" applyNumberFormat="1" applyFont="1" applyBorder="1" applyAlignment="1" applyProtection="1">
      <alignment horizontal="center" vertical="center"/>
    </xf>
    <xf numFmtId="165" fontId="3" fillId="0" borderId="40" xfId="0" applyNumberFormat="1" applyFont="1" applyBorder="1" applyAlignment="1" applyProtection="1">
      <alignment horizontal="center" vertical="center"/>
    </xf>
    <xf numFmtId="166" fontId="4" fillId="0" borderId="25" xfId="0" applyNumberFormat="1" applyFont="1" applyBorder="1" applyAlignment="1" applyProtection="1">
      <alignment horizontal="center" vertical="center"/>
    </xf>
    <xf numFmtId="166" fontId="3" fillId="0" borderId="40" xfId="0" applyNumberFormat="1" applyFont="1" applyBorder="1" applyAlignment="1" applyProtection="1">
      <alignment horizontal="center" vertical="center"/>
    </xf>
    <xf numFmtId="166" fontId="3" fillId="0" borderId="25" xfId="0" applyNumberFormat="1" applyFont="1" applyBorder="1" applyAlignment="1" applyProtection="1">
      <alignment horizontal="center" vertical="center"/>
    </xf>
    <xf numFmtId="0" fontId="3" fillId="0" borderId="42" xfId="0" applyFont="1" applyBorder="1" applyAlignment="1" applyProtection="1">
      <alignment horizontal="center" vertical="center"/>
    </xf>
    <xf numFmtId="166" fontId="3" fillId="0" borderId="25" xfId="0" applyNumberFormat="1" applyFont="1" applyBorder="1" applyAlignment="1" applyProtection="1">
      <alignment vertical="center"/>
    </xf>
    <xf numFmtId="4" fontId="3" fillId="0" borderId="40" xfId="0" applyNumberFormat="1" applyFont="1" applyBorder="1" applyAlignment="1" applyProtection="1">
      <alignment vertical="center"/>
    </xf>
    <xf numFmtId="168" fontId="3" fillId="0" borderId="31" xfId="0" applyNumberFormat="1" applyFont="1" applyBorder="1" applyAlignment="1" applyProtection="1">
      <alignment vertical="center"/>
    </xf>
    <xf numFmtId="0" fontId="1" fillId="0" borderId="43" xfId="0" applyFont="1" applyBorder="1" applyAlignment="1" applyProtection="1">
      <alignment vertical="center"/>
    </xf>
    <xf numFmtId="3" fontId="2" fillId="0" borderId="44" xfId="0" applyNumberFormat="1" applyFont="1" applyBorder="1" applyAlignment="1" applyProtection="1">
      <alignment vertical="center"/>
    </xf>
    <xf numFmtId="0" fontId="1" fillId="0" borderId="44" xfId="0" applyFont="1" applyBorder="1" applyAlignment="1" applyProtection="1">
      <alignment vertical="center"/>
    </xf>
    <xf numFmtId="0" fontId="0" fillId="0" borderId="44" xfId="0" applyBorder="1" applyAlignment="1">
      <alignment vertical="center"/>
    </xf>
    <xf numFmtId="0" fontId="1" fillId="0" borderId="45" xfId="0" applyFont="1" applyBorder="1" applyAlignment="1" applyProtection="1">
      <alignment vertical="center"/>
    </xf>
    <xf numFmtId="0" fontId="26" fillId="0" borderId="30" xfId="0" applyFont="1" applyBorder="1" applyAlignment="1" applyProtection="1">
      <alignment horizontal="center" vertical="center"/>
    </xf>
    <xf numFmtId="11" fontId="3" fillId="0" borderId="25" xfId="0" applyNumberFormat="1" applyFont="1" applyBorder="1" applyAlignment="1" applyProtection="1">
      <alignment horizontal="right" vertical="center"/>
    </xf>
    <xf numFmtId="0" fontId="3" fillId="0" borderId="42" xfId="0" applyFont="1" applyBorder="1" applyAlignment="1">
      <alignment horizontal="left" vertical="center"/>
    </xf>
    <xf numFmtId="0" fontId="0" fillId="0" borderId="41" xfId="0" applyBorder="1" applyAlignment="1">
      <alignment vertical="center"/>
    </xf>
    <xf numFmtId="0" fontId="26" fillId="0" borderId="25" xfId="0" applyFont="1" applyBorder="1" applyAlignment="1" applyProtection="1">
      <alignment horizontal="center" vertical="center"/>
    </xf>
    <xf numFmtId="0" fontId="3" fillId="0" borderId="25" xfId="0" applyFont="1" applyBorder="1" applyAlignment="1" applyProtection="1">
      <alignment horizontal="right" vertical="center"/>
    </xf>
    <xf numFmtId="0" fontId="3" fillId="0" borderId="42" xfId="0" applyFont="1" applyBorder="1" applyAlignment="1" applyProtection="1">
      <alignment horizontal="left" vertical="center"/>
    </xf>
    <xf numFmtId="0" fontId="26" fillId="0" borderId="41" xfId="0" applyFont="1" applyBorder="1" applyAlignment="1" applyProtection="1">
      <alignment horizontal="center" vertical="center"/>
    </xf>
    <xf numFmtId="0" fontId="3" fillId="0" borderId="31" xfId="0" applyFont="1" applyBorder="1" applyAlignment="1">
      <alignment horizontal="left" vertical="center"/>
    </xf>
    <xf numFmtId="0" fontId="0" fillId="24" borderId="30" xfId="0" applyFill="1" applyBorder="1" applyAlignment="1">
      <alignment vertical="center"/>
    </xf>
    <xf numFmtId="0" fontId="0" fillId="24" borderId="25" xfId="0" applyFill="1" applyBorder="1" applyAlignment="1">
      <alignment vertical="center"/>
    </xf>
    <xf numFmtId="0" fontId="0" fillId="24" borderId="31" xfId="0" applyFill="1" applyBorder="1" applyAlignment="1">
      <alignment vertical="center"/>
    </xf>
    <xf numFmtId="0" fontId="3" fillId="25" borderId="32" xfId="0" applyFont="1" applyFill="1" applyBorder="1" applyAlignment="1" applyProtection="1">
      <alignment horizontal="left" vertical="center"/>
    </xf>
    <xf numFmtId="4" fontId="3" fillId="0" borderId="39" xfId="0" applyNumberFormat="1" applyFont="1" applyFill="1" applyBorder="1" applyAlignment="1" applyProtection="1">
      <alignment horizontal="center" vertical="center"/>
    </xf>
    <xf numFmtId="3" fontId="4" fillId="0" borderId="0" xfId="0" applyNumberFormat="1" applyFont="1" applyBorder="1" applyAlignment="1" applyProtection="1">
      <alignment horizontal="center" vertical="center"/>
    </xf>
    <xf numFmtId="0" fontId="3" fillId="0" borderId="20" xfId="0" applyFont="1" applyBorder="1" applyAlignment="1" applyProtection="1">
      <alignment horizontal="center" vertical="center"/>
    </xf>
    <xf numFmtId="164" fontId="3" fillId="26" borderId="18" xfId="0" applyNumberFormat="1" applyFont="1" applyFill="1" applyBorder="1" applyAlignment="1" applyProtection="1">
      <alignment horizontal="center" vertical="center"/>
    </xf>
    <xf numFmtId="3" fontId="3" fillId="26" borderId="18" xfId="0" applyNumberFormat="1" applyFont="1" applyFill="1" applyBorder="1" applyAlignment="1" applyProtection="1">
      <alignment horizontal="center" vertical="center"/>
    </xf>
    <xf numFmtId="166" fontId="3" fillId="0" borderId="18" xfId="0" applyNumberFormat="1" applyFont="1" applyBorder="1" applyAlignment="1">
      <alignment horizontal="center" vertical="center"/>
    </xf>
    <xf numFmtId="49" fontId="3" fillId="26" borderId="18" xfId="0" applyNumberFormat="1" applyFont="1" applyFill="1" applyBorder="1" applyAlignment="1" applyProtection="1">
      <alignment horizontal="center" vertical="center"/>
    </xf>
    <xf numFmtId="166" fontId="4" fillId="0" borderId="24" xfId="0" applyNumberFormat="1" applyFont="1" applyBorder="1" applyAlignment="1" applyProtection="1">
      <alignment horizontal="center" vertical="center"/>
    </xf>
    <xf numFmtId="0" fontId="1" fillId="0" borderId="43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center" vertical="center"/>
    </xf>
    <xf numFmtId="0" fontId="1" fillId="0" borderId="46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3" fillId="0" borderId="20" xfId="0" applyFont="1" applyBorder="1" applyAlignment="1" applyProtection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44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Entrée" xfId="29" builtinId="20" customBuiltin="1"/>
    <cellStyle name="Euro" xfId="30" xr:uid="{00000000-0005-0000-0000-00001D000000}"/>
    <cellStyle name="Insatisfaisant" xfId="31" builtinId="27" customBuiltin="1"/>
    <cellStyle name="Neutre" xfId="32" builtinId="28" customBuiltin="1"/>
    <cellStyle name="Non défini" xfId="33" xr:uid="{00000000-0005-0000-0000-000020000000}"/>
    <cellStyle name="Normal" xfId="0" builtinId="0"/>
    <cellStyle name="Note" xfId="28" builtinId="10" customBuiltin="1"/>
    <cellStyle name="Satisfaisant" xfId="34" builtinId="26" customBuiltin="1"/>
    <cellStyle name="Sortie" xfId="35" builtinId="21" customBuiltin="1"/>
    <cellStyle name="Texte explicatif" xfId="36" builtinId="53" customBuiltin="1"/>
    <cellStyle name="Titre" xfId="37" builtinId="15" customBuiltin="1"/>
    <cellStyle name="Titre 1" xfId="38" builtinId="16" customBuiltin="1"/>
    <cellStyle name="Titre 2" xfId="39" builtinId="17" customBuiltin="1"/>
    <cellStyle name="Titre 3" xfId="40" builtinId="18" customBuiltin="1"/>
    <cellStyle name="Titre 4" xfId="41" builtinId="19" customBuiltin="1"/>
    <cellStyle name="Total" xfId="42" builtinId="25" customBuiltin="1"/>
    <cellStyle name="Vérification" xfId="43" builtinId="23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FFAIRES/09-09%20CC%20TRAPPES/09-09%20LISTE%20MATERIEL/09-09%20liste%20mat%20B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OPERATIONS/Affaires%202009/1029%20-%20VITALYS%20COGEEF/ETUDES/CALCULS/Anciens%20indices/Affaires%202008/Execution/E%20-%20Fitness%20Club%20Med%20Gym%20-%20925/Etudes/Pompes%20secondaire%20bouteill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OPERATIONS/Affaires%202009/1029%20-%20VITALYS%20COGEEF/ETUDES/CALCULS/Anciens%20indices/Thermexcel/Hydro/HydroExcel.xla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-cosyrest\donn&#233;es\Orly%20nord%20liste%20mat%20&#233;tude%20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Affaires%202007/E%20-%20Execution/E%20-%20Complexe%20sportif%20Bagnolet%20-%20855/Etudes/Pompes%20secondaire%20bouteill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Thermexcel/Hydro/HydroExce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f divers"/>
      <sheetName val="Tarif Bourgeat"/>
      <sheetName val="Tarif Tournus"/>
      <sheetName val="Tarif Sopacom"/>
      <sheetName val="Tarif Wintherhalter"/>
      <sheetName val="Tarif Comenda"/>
      <sheetName val="Tarif dagard"/>
      <sheetName val="Tarif friginox"/>
      <sheetName val="Tarif inoxyform"/>
      <sheetName val="Tarif Frima"/>
      <sheetName val="Tarif rosinox"/>
      <sheetName val="Tarif Capic"/>
      <sheetName val="vauconsant"/>
      <sheetName val="Liste équipements base"/>
      <sheetName val="Liste équipements"/>
      <sheetName val="Synthèse par local"/>
      <sheetName val="rayonnages"/>
      <sheetName val="caniveaux aco"/>
      <sheetName val="lavage comenda"/>
      <sheetName val="Inox tournus"/>
      <sheetName val="divers"/>
      <sheetName val="froid"/>
      <sheetName val="Présentation du projet"/>
      <sheetName val="Généralités"/>
      <sheetName val="Présentation des phases"/>
      <sheetName val="Liste DSV"/>
      <sheetName val="Bilan ventilation"/>
      <sheetName val="chiffrage cloisons"/>
      <sheetName val="Vest bur"/>
      <sheetName val="Poub Recep"/>
      <sheetName val="Réserves"/>
      <sheetName val="stock froid"/>
      <sheetName val="Deb leg"/>
      <sheetName val="Prep f"/>
      <sheetName val="Pâtis"/>
      <sheetName val="cuis base"/>
      <sheetName val="Cuis 800 "/>
      <sheetName val="Cuis 900"/>
      <sheetName val="Cuis AG"/>
      <sheetName val="batterie"/>
      <sheetName val="Laverie G"/>
      <sheetName val="Laverie T"/>
      <sheetName val="K les rotis"/>
      <sheetName val="K les metisses"/>
      <sheetName val="K les vapeurs"/>
      <sheetName val="K les mijotés"/>
      <sheetName val="K les grillés"/>
      <sheetName val="K le snack"/>
      <sheetName val="salle caf"/>
      <sheetName val="kiosque"/>
    </sheetNames>
    <sheetDataSet>
      <sheetData sheetId="0">
        <row r="7">
          <cell r="I7">
            <v>391.47</v>
          </cell>
        </row>
        <row r="11">
          <cell r="I11">
            <v>589.21</v>
          </cell>
        </row>
        <row r="12">
          <cell r="I12">
            <v>764.07</v>
          </cell>
        </row>
        <row r="14">
          <cell r="I14">
            <v>937.04</v>
          </cell>
        </row>
        <row r="15">
          <cell r="I15">
            <v>1002.59</v>
          </cell>
        </row>
        <row r="19">
          <cell r="I19">
            <v>313.73</v>
          </cell>
        </row>
        <row r="20">
          <cell r="I20">
            <v>341.23</v>
          </cell>
        </row>
        <row r="26">
          <cell r="I26">
            <v>787.91</v>
          </cell>
        </row>
        <row r="27">
          <cell r="I27">
            <v>862.01</v>
          </cell>
        </row>
        <row r="28">
          <cell r="I28">
            <v>959.46</v>
          </cell>
        </row>
        <row r="39">
          <cell r="I39">
            <v>0</v>
          </cell>
        </row>
        <row r="40">
          <cell r="I40">
            <v>0</v>
          </cell>
        </row>
        <row r="41">
          <cell r="I41">
            <v>0</v>
          </cell>
        </row>
        <row r="46">
          <cell r="I46">
            <v>90</v>
          </cell>
        </row>
        <row r="54">
          <cell r="I54">
            <v>21650</v>
          </cell>
        </row>
        <row r="57">
          <cell r="I57">
            <v>770</v>
          </cell>
        </row>
        <row r="65">
          <cell r="I65">
            <v>1875</v>
          </cell>
        </row>
        <row r="73">
          <cell r="I73">
            <v>1200</v>
          </cell>
        </row>
        <row r="74">
          <cell r="I74">
            <v>1535</v>
          </cell>
        </row>
        <row r="75">
          <cell r="I75">
            <v>1800</v>
          </cell>
        </row>
        <row r="76">
          <cell r="I76">
            <v>2205</v>
          </cell>
        </row>
        <row r="77">
          <cell r="I77">
            <v>2620</v>
          </cell>
        </row>
        <row r="80">
          <cell r="I80">
            <v>1530</v>
          </cell>
        </row>
        <row r="82">
          <cell r="I82">
            <v>2235</v>
          </cell>
        </row>
        <row r="83">
          <cell r="I83">
            <v>2415</v>
          </cell>
        </row>
        <row r="84">
          <cell r="I84">
            <v>3175</v>
          </cell>
        </row>
        <row r="85">
          <cell r="I85">
            <v>3480</v>
          </cell>
        </row>
        <row r="86">
          <cell r="I86">
            <v>4445</v>
          </cell>
        </row>
        <row r="87">
          <cell r="I87">
            <v>4795</v>
          </cell>
        </row>
        <row r="90">
          <cell r="I90">
            <v>3335</v>
          </cell>
        </row>
        <row r="91">
          <cell r="I91">
            <v>3920</v>
          </cell>
        </row>
        <row r="92">
          <cell r="I92">
            <v>4140</v>
          </cell>
        </row>
        <row r="93">
          <cell r="I93">
            <v>4995</v>
          </cell>
        </row>
        <row r="94">
          <cell r="I94">
            <v>5715</v>
          </cell>
        </row>
        <row r="96">
          <cell r="I96">
            <v>10525</v>
          </cell>
        </row>
        <row r="97">
          <cell r="I97">
            <v>12260</v>
          </cell>
        </row>
        <row r="98">
          <cell r="I98">
            <v>13430</v>
          </cell>
        </row>
        <row r="121">
          <cell r="I121">
            <v>4430</v>
          </cell>
        </row>
        <row r="122">
          <cell r="I122">
            <v>7450</v>
          </cell>
        </row>
        <row r="123">
          <cell r="I123">
            <v>8430</v>
          </cell>
        </row>
        <row r="124">
          <cell r="I124">
            <v>650</v>
          </cell>
        </row>
        <row r="129">
          <cell r="I129">
            <v>1525</v>
          </cell>
        </row>
        <row r="130">
          <cell r="I130">
            <v>1585</v>
          </cell>
        </row>
        <row r="131">
          <cell r="I131">
            <v>1740</v>
          </cell>
        </row>
        <row r="132">
          <cell r="I132">
            <v>1960</v>
          </cell>
        </row>
        <row r="133">
          <cell r="I133">
            <v>2055</v>
          </cell>
        </row>
        <row r="134">
          <cell r="I134">
            <v>2520</v>
          </cell>
        </row>
        <row r="137">
          <cell r="I137">
            <v>150</v>
          </cell>
        </row>
        <row r="138">
          <cell r="I138">
            <v>135</v>
          </cell>
        </row>
        <row r="139">
          <cell r="I139">
            <v>170</v>
          </cell>
        </row>
        <row r="141">
          <cell r="I141">
            <v>135</v>
          </cell>
        </row>
        <row r="142">
          <cell r="I142">
            <v>170</v>
          </cell>
        </row>
        <row r="143">
          <cell r="I143">
            <v>515</v>
          </cell>
        </row>
        <row r="150">
          <cell r="I150">
            <v>20</v>
          </cell>
        </row>
        <row r="151">
          <cell r="I151">
            <v>22</v>
          </cell>
        </row>
        <row r="152">
          <cell r="I152">
            <v>24</v>
          </cell>
        </row>
        <row r="153">
          <cell r="I153">
            <v>25</v>
          </cell>
        </row>
        <row r="154">
          <cell r="I154">
            <v>15</v>
          </cell>
        </row>
        <row r="155">
          <cell r="I155">
            <v>20</v>
          </cell>
        </row>
        <row r="156">
          <cell r="I156">
            <v>80</v>
          </cell>
        </row>
      </sheetData>
      <sheetData sheetId="1">
        <row r="18">
          <cell r="I18">
            <v>136</v>
          </cell>
        </row>
        <row r="54">
          <cell r="I54">
            <v>320</v>
          </cell>
        </row>
        <row r="194">
          <cell r="I194">
            <v>557</v>
          </cell>
        </row>
        <row r="196">
          <cell r="I196">
            <v>33</v>
          </cell>
        </row>
        <row r="197">
          <cell r="I197">
            <v>42</v>
          </cell>
        </row>
        <row r="200">
          <cell r="I200">
            <v>31</v>
          </cell>
        </row>
        <row r="201">
          <cell r="I201">
            <v>27</v>
          </cell>
        </row>
        <row r="202">
          <cell r="I202">
            <v>51</v>
          </cell>
        </row>
        <row r="203">
          <cell r="I203">
            <v>25</v>
          </cell>
        </row>
        <row r="206">
          <cell r="I206">
            <v>177</v>
          </cell>
        </row>
        <row r="207">
          <cell r="I207">
            <v>210</v>
          </cell>
        </row>
        <row r="210">
          <cell r="I210">
            <v>442</v>
          </cell>
        </row>
        <row r="211">
          <cell r="I211">
            <v>455</v>
          </cell>
        </row>
        <row r="212">
          <cell r="I212">
            <v>710</v>
          </cell>
        </row>
        <row r="213">
          <cell r="I213">
            <v>734</v>
          </cell>
        </row>
        <row r="219">
          <cell r="I219">
            <v>282</v>
          </cell>
        </row>
      </sheetData>
      <sheetData sheetId="2">
        <row r="5">
          <cell r="I5">
            <v>413</v>
          </cell>
        </row>
        <row r="6">
          <cell r="I6">
            <v>454</v>
          </cell>
        </row>
        <row r="7">
          <cell r="I7">
            <v>520</v>
          </cell>
        </row>
        <row r="8">
          <cell r="I8">
            <v>604</v>
          </cell>
        </row>
        <row r="10">
          <cell r="I10">
            <v>553</v>
          </cell>
        </row>
        <row r="11">
          <cell r="I11">
            <v>619</v>
          </cell>
        </row>
        <row r="12">
          <cell r="I12">
            <v>656</v>
          </cell>
        </row>
        <row r="13">
          <cell r="I13">
            <v>810</v>
          </cell>
        </row>
        <row r="15">
          <cell r="I15">
            <v>78</v>
          </cell>
        </row>
        <row r="16">
          <cell r="I16">
            <v>117</v>
          </cell>
        </row>
        <row r="17">
          <cell r="I17">
            <v>135</v>
          </cell>
        </row>
        <row r="23">
          <cell r="I23">
            <v>610</v>
          </cell>
        </row>
        <row r="24">
          <cell r="I24">
            <v>684</v>
          </cell>
        </row>
        <row r="27">
          <cell r="I27">
            <v>159</v>
          </cell>
        </row>
        <row r="38">
          <cell r="I38">
            <v>373</v>
          </cell>
        </row>
        <row r="39">
          <cell r="I39">
            <v>403</v>
          </cell>
        </row>
        <row r="40">
          <cell r="I40">
            <v>584</v>
          </cell>
        </row>
        <row r="46">
          <cell r="I46">
            <v>1462</v>
          </cell>
        </row>
        <row r="47">
          <cell r="I47">
            <v>1757</v>
          </cell>
        </row>
        <row r="48">
          <cell r="I48">
            <v>2282</v>
          </cell>
        </row>
        <row r="49">
          <cell r="I49">
            <v>2507</v>
          </cell>
        </row>
        <row r="51">
          <cell r="I51">
            <v>1227</v>
          </cell>
        </row>
        <row r="52">
          <cell r="I52">
            <v>1227</v>
          </cell>
        </row>
        <row r="53">
          <cell r="I53">
            <v>1367</v>
          </cell>
        </row>
        <row r="59">
          <cell r="I59">
            <v>859</v>
          </cell>
        </row>
        <row r="60">
          <cell r="I60">
            <v>1060</v>
          </cell>
        </row>
        <row r="61">
          <cell r="I61">
            <v>728</v>
          </cell>
        </row>
        <row r="62">
          <cell r="I62">
            <v>1011</v>
          </cell>
        </row>
        <row r="64">
          <cell r="I64">
            <v>862</v>
          </cell>
        </row>
        <row r="71">
          <cell r="I71">
            <v>407</v>
          </cell>
        </row>
        <row r="72">
          <cell r="I72">
            <v>424</v>
          </cell>
        </row>
        <row r="73">
          <cell r="I73">
            <v>563</v>
          </cell>
        </row>
        <row r="74">
          <cell r="I74">
            <v>566</v>
          </cell>
        </row>
        <row r="75">
          <cell r="I75">
            <v>578</v>
          </cell>
        </row>
        <row r="76">
          <cell r="I76">
            <v>718</v>
          </cell>
        </row>
        <row r="77">
          <cell r="I77">
            <v>721</v>
          </cell>
        </row>
        <row r="78">
          <cell r="I78">
            <v>733</v>
          </cell>
        </row>
        <row r="80">
          <cell r="I80">
            <v>461</v>
          </cell>
        </row>
        <row r="81">
          <cell r="I81">
            <v>471</v>
          </cell>
        </row>
        <row r="82">
          <cell r="I82">
            <v>632</v>
          </cell>
        </row>
        <row r="83">
          <cell r="I83">
            <v>638</v>
          </cell>
        </row>
        <row r="84">
          <cell r="I84">
            <v>658</v>
          </cell>
        </row>
        <row r="85">
          <cell r="I85">
            <v>787</v>
          </cell>
        </row>
        <row r="86">
          <cell r="I86">
            <v>793</v>
          </cell>
        </row>
        <row r="87">
          <cell r="I87">
            <v>813</v>
          </cell>
        </row>
        <row r="89">
          <cell r="I89">
            <v>707</v>
          </cell>
        </row>
        <row r="90">
          <cell r="I90">
            <v>848</v>
          </cell>
        </row>
        <row r="91">
          <cell r="I91">
            <v>862</v>
          </cell>
        </row>
        <row r="92">
          <cell r="I92">
            <v>1003</v>
          </cell>
        </row>
        <row r="100">
          <cell r="I100">
            <v>524</v>
          </cell>
        </row>
        <row r="101">
          <cell r="I101">
            <v>524</v>
          </cell>
        </row>
        <row r="102">
          <cell r="I102">
            <v>567</v>
          </cell>
        </row>
        <row r="103">
          <cell r="I103">
            <v>556</v>
          </cell>
        </row>
        <row r="104">
          <cell r="I104">
            <v>711</v>
          </cell>
        </row>
        <row r="105">
          <cell r="I105">
            <v>603</v>
          </cell>
        </row>
        <row r="110">
          <cell r="I110">
            <v>976</v>
          </cell>
        </row>
        <row r="111">
          <cell r="I111">
            <v>968</v>
          </cell>
        </row>
        <row r="112">
          <cell r="I112">
            <v>506</v>
          </cell>
        </row>
        <row r="113">
          <cell r="I113">
            <v>1215</v>
          </cell>
        </row>
        <row r="115">
          <cell r="I115">
            <v>1297</v>
          </cell>
        </row>
        <row r="116">
          <cell r="I116">
            <v>989</v>
          </cell>
        </row>
        <row r="117">
          <cell r="I117">
            <v>1084</v>
          </cell>
        </row>
        <row r="118">
          <cell r="I118">
            <v>835</v>
          </cell>
        </row>
        <row r="119">
          <cell r="I119">
            <v>760</v>
          </cell>
        </row>
        <row r="120">
          <cell r="I120">
            <v>664</v>
          </cell>
        </row>
        <row r="121">
          <cell r="I121">
            <v>819</v>
          </cell>
        </row>
        <row r="122">
          <cell r="I122">
            <v>829</v>
          </cell>
        </row>
        <row r="123">
          <cell r="I123">
            <v>1544</v>
          </cell>
        </row>
        <row r="124">
          <cell r="I124">
            <v>658</v>
          </cell>
        </row>
        <row r="125">
          <cell r="I125">
            <v>1434</v>
          </cell>
        </row>
        <row r="134">
          <cell r="I134">
            <v>581</v>
          </cell>
        </row>
        <row r="135">
          <cell r="I135">
            <v>586</v>
          </cell>
        </row>
        <row r="136">
          <cell r="I136">
            <v>594</v>
          </cell>
        </row>
        <row r="137">
          <cell r="I137">
            <v>620</v>
          </cell>
        </row>
        <row r="138">
          <cell r="I138">
            <v>687</v>
          </cell>
        </row>
        <row r="139">
          <cell r="I139">
            <v>737</v>
          </cell>
        </row>
        <row r="140">
          <cell r="I140">
            <v>749</v>
          </cell>
        </row>
        <row r="144">
          <cell r="I144">
            <v>584</v>
          </cell>
        </row>
        <row r="145">
          <cell r="I145">
            <v>586</v>
          </cell>
        </row>
        <row r="146">
          <cell r="I146">
            <v>594</v>
          </cell>
        </row>
        <row r="147">
          <cell r="I147">
            <v>620</v>
          </cell>
        </row>
        <row r="148">
          <cell r="I148">
            <v>668</v>
          </cell>
        </row>
        <row r="149">
          <cell r="I149">
            <v>687</v>
          </cell>
        </row>
        <row r="150">
          <cell r="I150">
            <v>737</v>
          </cell>
        </row>
        <row r="151">
          <cell r="I151">
            <v>749</v>
          </cell>
        </row>
        <row r="152">
          <cell r="I152">
            <v>798</v>
          </cell>
        </row>
        <row r="153">
          <cell r="I153">
            <v>845</v>
          </cell>
        </row>
        <row r="157">
          <cell r="I157">
            <v>619</v>
          </cell>
        </row>
        <row r="158">
          <cell r="I158">
            <v>628</v>
          </cell>
        </row>
        <row r="159">
          <cell r="I159">
            <v>656</v>
          </cell>
        </row>
        <row r="160">
          <cell r="I160">
            <v>726</v>
          </cell>
        </row>
        <row r="161">
          <cell r="I161">
            <v>780</v>
          </cell>
        </row>
        <row r="162">
          <cell r="I162">
            <v>791</v>
          </cell>
        </row>
        <row r="200">
          <cell r="I200">
            <v>859</v>
          </cell>
        </row>
        <row r="201">
          <cell r="I201">
            <v>875</v>
          </cell>
        </row>
        <row r="202">
          <cell r="I202">
            <v>898</v>
          </cell>
        </row>
        <row r="203">
          <cell r="I203">
            <v>944</v>
          </cell>
        </row>
        <row r="204">
          <cell r="I204">
            <v>990</v>
          </cell>
        </row>
        <row r="205">
          <cell r="I205">
            <v>1012</v>
          </cell>
        </row>
        <row r="206">
          <cell r="I206">
            <v>1044</v>
          </cell>
        </row>
        <row r="208">
          <cell r="I208">
            <v>870</v>
          </cell>
        </row>
        <row r="209">
          <cell r="I209">
            <v>896</v>
          </cell>
        </row>
        <row r="210">
          <cell r="I210">
            <v>940</v>
          </cell>
        </row>
        <row r="211">
          <cell r="I211">
            <v>981</v>
          </cell>
        </row>
        <row r="212">
          <cell r="I212">
            <v>990</v>
          </cell>
        </row>
        <row r="213">
          <cell r="I213">
            <v>1012</v>
          </cell>
        </row>
        <row r="214">
          <cell r="I214">
            <v>1044</v>
          </cell>
        </row>
        <row r="215">
          <cell r="I215">
            <v>1115</v>
          </cell>
        </row>
        <row r="216">
          <cell r="I216">
            <v>1164</v>
          </cell>
        </row>
        <row r="218">
          <cell r="I218">
            <v>900</v>
          </cell>
        </row>
        <row r="219">
          <cell r="I219">
            <v>927</v>
          </cell>
        </row>
        <row r="220">
          <cell r="I220">
            <v>977</v>
          </cell>
        </row>
        <row r="221">
          <cell r="I221">
            <v>999</v>
          </cell>
        </row>
        <row r="222">
          <cell r="I222">
            <v>1046</v>
          </cell>
        </row>
        <row r="223">
          <cell r="I223">
            <v>1075</v>
          </cell>
        </row>
        <row r="240">
          <cell r="I240">
            <v>1081</v>
          </cell>
        </row>
        <row r="241">
          <cell r="I241">
            <v>1096</v>
          </cell>
        </row>
        <row r="242">
          <cell r="I242">
            <v>1121</v>
          </cell>
        </row>
        <row r="243">
          <cell r="I243">
            <v>1147</v>
          </cell>
        </row>
        <row r="244">
          <cell r="I244">
            <v>1173</v>
          </cell>
        </row>
        <row r="245">
          <cell r="I245">
            <v>1198</v>
          </cell>
        </row>
        <row r="246">
          <cell r="I246">
            <v>1255</v>
          </cell>
        </row>
        <row r="247">
          <cell r="I247">
            <v>1262</v>
          </cell>
        </row>
        <row r="253">
          <cell r="I253">
            <v>691</v>
          </cell>
        </row>
        <row r="254">
          <cell r="I254">
            <v>701</v>
          </cell>
        </row>
        <row r="255">
          <cell r="I255">
            <v>748</v>
          </cell>
        </row>
        <row r="256">
          <cell r="I256">
            <v>793</v>
          </cell>
        </row>
        <row r="257">
          <cell r="I257">
            <v>834</v>
          </cell>
        </row>
        <row r="258">
          <cell r="I258">
            <v>857</v>
          </cell>
        </row>
        <row r="259">
          <cell r="I259">
            <v>908</v>
          </cell>
        </row>
        <row r="261">
          <cell r="I261">
            <v>1137</v>
          </cell>
        </row>
        <row r="262">
          <cell r="I262">
            <v>1149</v>
          </cell>
        </row>
        <row r="263">
          <cell r="I263">
            <v>1196</v>
          </cell>
        </row>
        <row r="264">
          <cell r="I264">
            <v>1242</v>
          </cell>
        </row>
        <row r="265">
          <cell r="I265">
            <v>1298</v>
          </cell>
        </row>
        <row r="266">
          <cell r="I266">
            <v>1301</v>
          </cell>
        </row>
        <row r="269">
          <cell r="I269">
            <v>217</v>
          </cell>
        </row>
        <row r="270">
          <cell r="I270">
            <v>102</v>
          </cell>
        </row>
        <row r="271">
          <cell r="I271">
            <v>153</v>
          </cell>
        </row>
        <row r="272">
          <cell r="I272">
            <v>272</v>
          </cell>
        </row>
        <row r="274">
          <cell r="I274">
            <v>77</v>
          </cell>
        </row>
        <row r="275">
          <cell r="I275">
            <v>30</v>
          </cell>
        </row>
        <row r="276">
          <cell r="I276">
            <v>106</v>
          </cell>
        </row>
        <row r="278">
          <cell r="I278">
            <v>202</v>
          </cell>
        </row>
        <row r="280">
          <cell r="I280">
            <v>577</v>
          </cell>
        </row>
        <row r="281">
          <cell r="I281">
            <v>288</v>
          </cell>
        </row>
        <row r="282">
          <cell r="I282">
            <v>31</v>
          </cell>
        </row>
        <row r="283">
          <cell r="I283">
            <v>262</v>
          </cell>
        </row>
        <row r="290">
          <cell r="I290">
            <v>371</v>
          </cell>
        </row>
        <row r="291">
          <cell r="I291">
            <v>788</v>
          </cell>
        </row>
        <row r="293">
          <cell r="I293">
            <v>1803</v>
          </cell>
        </row>
        <row r="298">
          <cell r="I298">
            <v>586</v>
          </cell>
        </row>
        <row r="299">
          <cell r="I299">
            <v>548</v>
          </cell>
        </row>
        <row r="304">
          <cell r="I304">
            <v>2038</v>
          </cell>
        </row>
        <row r="305">
          <cell r="I305">
            <v>2123</v>
          </cell>
        </row>
        <row r="306">
          <cell r="I306">
            <v>2266</v>
          </cell>
        </row>
        <row r="309">
          <cell r="I309">
            <v>2644</v>
          </cell>
        </row>
        <row r="310">
          <cell r="I310">
            <v>2846</v>
          </cell>
        </row>
        <row r="311">
          <cell r="I311">
            <v>3118</v>
          </cell>
        </row>
        <row r="316">
          <cell r="I316">
            <v>1436</v>
          </cell>
        </row>
        <row r="317">
          <cell r="I317">
            <v>1765</v>
          </cell>
        </row>
        <row r="318">
          <cell r="I318">
            <v>1659</v>
          </cell>
        </row>
        <row r="322">
          <cell r="I322">
            <v>1341</v>
          </cell>
        </row>
        <row r="323">
          <cell r="I323">
            <v>1443</v>
          </cell>
        </row>
        <row r="324">
          <cell r="I324">
            <v>1656</v>
          </cell>
        </row>
        <row r="325">
          <cell r="I325">
            <v>1746</v>
          </cell>
        </row>
        <row r="326">
          <cell r="I326">
            <v>1780</v>
          </cell>
        </row>
        <row r="327">
          <cell r="I327">
            <v>2786</v>
          </cell>
        </row>
        <row r="329">
          <cell r="I329">
            <v>1386</v>
          </cell>
        </row>
        <row r="330">
          <cell r="I330">
            <v>1485</v>
          </cell>
        </row>
        <row r="331">
          <cell r="I331">
            <v>1744</v>
          </cell>
        </row>
        <row r="332">
          <cell r="I332">
            <v>1844</v>
          </cell>
        </row>
        <row r="333">
          <cell r="I333">
            <v>2004</v>
          </cell>
        </row>
        <row r="337">
          <cell r="I337">
            <v>2453</v>
          </cell>
        </row>
        <row r="338">
          <cell r="I338">
            <v>2623</v>
          </cell>
        </row>
        <row r="339">
          <cell r="I339">
            <v>3524</v>
          </cell>
        </row>
        <row r="340">
          <cell r="I340">
            <v>3736</v>
          </cell>
        </row>
        <row r="363">
          <cell r="I363">
            <v>1339</v>
          </cell>
        </row>
        <row r="364">
          <cell r="I364">
            <v>1444</v>
          </cell>
        </row>
        <row r="365">
          <cell r="I365">
            <v>1663</v>
          </cell>
        </row>
        <row r="366">
          <cell r="I366">
            <v>1918</v>
          </cell>
        </row>
        <row r="368">
          <cell r="I368">
            <v>1396</v>
          </cell>
        </row>
        <row r="369">
          <cell r="I369">
            <v>1680</v>
          </cell>
        </row>
        <row r="370">
          <cell r="I370">
            <v>1814</v>
          </cell>
        </row>
        <row r="371">
          <cell r="I371">
            <v>1945</v>
          </cell>
        </row>
        <row r="372">
          <cell r="I372">
            <v>2101</v>
          </cell>
        </row>
        <row r="383">
          <cell r="I383">
            <v>1600</v>
          </cell>
        </row>
        <row r="384">
          <cell r="I384">
            <v>1646</v>
          </cell>
        </row>
        <row r="385">
          <cell r="I385">
            <v>1700</v>
          </cell>
        </row>
        <row r="386">
          <cell r="I386">
            <v>1863</v>
          </cell>
        </row>
        <row r="387">
          <cell r="I387">
            <v>1915</v>
          </cell>
        </row>
        <row r="388">
          <cell r="I388">
            <v>1934</v>
          </cell>
        </row>
        <row r="389">
          <cell r="I389">
            <v>2098</v>
          </cell>
        </row>
        <row r="390">
          <cell r="I390">
            <v>2631</v>
          </cell>
        </row>
        <row r="391">
          <cell r="I391">
            <v>2792</v>
          </cell>
        </row>
        <row r="393">
          <cell r="I393">
            <v>1533</v>
          </cell>
        </row>
        <row r="394">
          <cell r="I394">
            <v>1579</v>
          </cell>
        </row>
        <row r="395">
          <cell r="I395">
            <v>1634</v>
          </cell>
        </row>
        <row r="396">
          <cell r="I396">
            <v>1796</v>
          </cell>
        </row>
        <row r="397">
          <cell r="I397">
            <v>1848</v>
          </cell>
        </row>
        <row r="398">
          <cell r="I398">
            <v>1867</v>
          </cell>
        </row>
        <row r="399">
          <cell r="I399">
            <v>2032</v>
          </cell>
        </row>
        <row r="400">
          <cell r="I400">
            <v>2564</v>
          </cell>
        </row>
        <row r="401">
          <cell r="I401">
            <v>2725</v>
          </cell>
        </row>
        <row r="407">
          <cell r="I407">
            <v>1600</v>
          </cell>
        </row>
        <row r="408">
          <cell r="I408">
            <v>1646</v>
          </cell>
        </row>
        <row r="409">
          <cell r="I409">
            <v>1700</v>
          </cell>
        </row>
        <row r="410">
          <cell r="I410">
            <v>1863</v>
          </cell>
        </row>
        <row r="411">
          <cell r="I411">
            <v>1915</v>
          </cell>
        </row>
        <row r="412">
          <cell r="I412">
            <v>1934</v>
          </cell>
        </row>
        <row r="413">
          <cell r="I413">
            <v>2098</v>
          </cell>
        </row>
        <row r="414">
          <cell r="I414">
            <v>2631</v>
          </cell>
        </row>
        <row r="415">
          <cell r="I415">
            <v>2792</v>
          </cell>
        </row>
        <row r="417">
          <cell r="I417">
            <v>1533</v>
          </cell>
        </row>
        <row r="418">
          <cell r="I418">
            <v>1579</v>
          </cell>
        </row>
        <row r="419">
          <cell r="I419">
            <v>1634</v>
          </cell>
        </row>
        <row r="420">
          <cell r="I420">
            <v>1796</v>
          </cell>
        </row>
        <row r="421">
          <cell r="I421">
            <v>1848</v>
          </cell>
        </row>
        <row r="422">
          <cell r="I422">
            <v>1867</v>
          </cell>
        </row>
        <row r="423">
          <cell r="I423">
            <v>2032</v>
          </cell>
        </row>
        <row r="424">
          <cell r="I424">
            <v>2564</v>
          </cell>
        </row>
        <row r="425">
          <cell r="I425">
            <v>2725</v>
          </cell>
        </row>
        <row r="427">
          <cell r="I427">
            <v>1798</v>
          </cell>
        </row>
        <row r="428">
          <cell r="I428">
            <v>1889</v>
          </cell>
        </row>
        <row r="429">
          <cell r="I429">
            <v>2014</v>
          </cell>
        </row>
        <row r="430">
          <cell r="I430">
            <v>2140</v>
          </cell>
        </row>
        <row r="431">
          <cell r="I431">
            <v>2165</v>
          </cell>
        </row>
        <row r="432">
          <cell r="I432">
            <v>2248</v>
          </cell>
        </row>
        <row r="433">
          <cell r="I433">
            <v>2364</v>
          </cell>
        </row>
        <row r="436">
          <cell r="I436">
            <v>1761</v>
          </cell>
        </row>
        <row r="437">
          <cell r="I437">
            <v>1801</v>
          </cell>
        </row>
        <row r="438">
          <cell r="I438">
            <v>1903</v>
          </cell>
        </row>
        <row r="439">
          <cell r="I439">
            <v>2064</v>
          </cell>
        </row>
        <row r="440">
          <cell r="I440">
            <v>2123</v>
          </cell>
        </row>
        <row r="441">
          <cell r="I441">
            <v>2164</v>
          </cell>
        </row>
        <row r="442">
          <cell r="I442">
            <v>2306</v>
          </cell>
        </row>
        <row r="443">
          <cell r="I443">
            <v>2892</v>
          </cell>
        </row>
        <row r="444">
          <cell r="I444">
            <v>2994</v>
          </cell>
        </row>
        <row r="446">
          <cell r="I446">
            <v>1694</v>
          </cell>
        </row>
        <row r="447">
          <cell r="I447">
            <v>1734</v>
          </cell>
        </row>
        <row r="448">
          <cell r="I448">
            <v>1836</v>
          </cell>
        </row>
        <row r="449">
          <cell r="I449">
            <v>1997</v>
          </cell>
        </row>
        <row r="450">
          <cell r="I450">
            <v>2057</v>
          </cell>
        </row>
        <row r="451">
          <cell r="I451">
            <v>2097</v>
          </cell>
        </row>
        <row r="452">
          <cell r="I452">
            <v>2239</v>
          </cell>
        </row>
        <row r="453">
          <cell r="I453">
            <v>2825</v>
          </cell>
        </row>
        <row r="454">
          <cell r="I454">
            <v>2927</v>
          </cell>
        </row>
        <row r="461">
          <cell r="I461">
            <v>2100.5</v>
          </cell>
        </row>
        <row r="462">
          <cell r="I462">
            <v>2246.6</v>
          </cell>
        </row>
        <row r="463">
          <cell r="I463">
            <v>2400.6999999999998</v>
          </cell>
        </row>
        <row r="464">
          <cell r="I464">
            <v>2613.75</v>
          </cell>
        </row>
        <row r="465">
          <cell r="I465">
            <v>2715.8</v>
          </cell>
        </row>
        <row r="466">
          <cell r="I466">
            <v>2834.9</v>
          </cell>
        </row>
        <row r="467">
          <cell r="I467">
            <v>3099</v>
          </cell>
        </row>
        <row r="468">
          <cell r="I468">
            <v>3732.1000000000004</v>
          </cell>
        </row>
        <row r="469">
          <cell r="I469">
            <v>3993.2</v>
          </cell>
        </row>
        <row r="471">
          <cell r="I471">
            <v>2033.5</v>
          </cell>
        </row>
        <row r="472">
          <cell r="I472">
            <v>2179.6</v>
          </cell>
        </row>
        <row r="473">
          <cell r="I473">
            <v>2334.6999999999998</v>
          </cell>
        </row>
        <row r="474">
          <cell r="I474">
            <v>2546.75</v>
          </cell>
        </row>
        <row r="475">
          <cell r="I475">
            <v>2648.8</v>
          </cell>
        </row>
        <row r="476">
          <cell r="I476">
            <v>2767.9</v>
          </cell>
        </row>
        <row r="477">
          <cell r="I477">
            <v>3033</v>
          </cell>
        </row>
        <row r="478">
          <cell r="I478">
            <v>3665.1000000000004</v>
          </cell>
        </row>
        <row r="479">
          <cell r="I479">
            <v>3926.2</v>
          </cell>
        </row>
        <row r="481">
          <cell r="I481">
            <v>2298.5</v>
          </cell>
        </row>
        <row r="482">
          <cell r="I482">
            <v>2489.6</v>
          </cell>
        </row>
        <row r="483">
          <cell r="I483">
            <v>2714.7</v>
          </cell>
        </row>
        <row r="484">
          <cell r="I484">
            <v>2890.75</v>
          </cell>
        </row>
        <row r="485">
          <cell r="I485">
            <v>2965.8</v>
          </cell>
        </row>
        <row r="486">
          <cell r="I486">
            <v>3148.9</v>
          </cell>
        </row>
        <row r="487">
          <cell r="I487">
            <v>3365</v>
          </cell>
        </row>
        <row r="490">
          <cell r="I490">
            <v>2333</v>
          </cell>
        </row>
        <row r="491">
          <cell r="I491">
            <v>2487.4</v>
          </cell>
        </row>
        <row r="492">
          <cell r="I492">
            <v>2703.8</v>
          </cell>
        </row>
        <row r="493">
          <cell r="I493">
            <v>2922</v>
          </cell>
        </row>
        <row r="494">
          <cell r="I494">
            <v>3038.2000000000003</v>
          </cell>
        </row>
        <row r="495">
          <cell r="I495">
            <v>3193.6000000000004</v>
          </cell>
        </row>
        <row r="496">
          <cell r="I496">
            <v>3450</v>
          </cell>
        </row>
        <row r="497">
          <cell r="I497">
            <v>4150.3999999999996</v>
          </cell>
        </row>
        <row r="498">
          <cell r="I498">
            <v>4366.8</v>
          </cell>
        </row>
        <row r="500">
          <cell r="I500">
            <v>2266</v>
          </cell>
        </row>
        <row r="501">
          <cell r="I501">
            <v>2420.4</v>
          </cell>
        </row>
        <row r="502">
          <cell r="I502">
            <v>2636.8</v>
          </cell>
        </row>
        <row r="503">
          <cell r="I503">
            <v>2855</v>
          </cell>
        </row>
        <row r="504">
          <cell r="I504">
            <v>2972.2000000000003</v>
          </cell>
        </row>
        <row r="505">
          <cell r="I505">
            <v>3126.6000000000004</v>
          </cell>
        </row>
        <row r="506">
          <cell r="I506">
            <v>3383</v>
          </cell>
        </row>
        <row r="507">
          <cell r="I507">
            <v>4083.4</v>
          </cell>
        </row>
        <row r="508">
          <cell r="I508">
            <v>4299.8</v>
          </cell>
        </row>
        <row r="535">
          <cell r="I535">
            <v>2524</v>
          </cell>
        </row>
        <row r="539">
          <cell r="I539">
            <v>1093</v>
          </cell>
        </row>
        <row r="540">
          <cell r="I540">
            <v>1672</v>
          </cell>
        </row>
        <row r="545">
          <cell r="I545">
            <v>1566</v>
          </cell>
        </row>
        <row r="546">
          <cell r="I546">
            <v>1444</v>
          </cell>
        </row>
        <row r="547">
          <cell r="I547">
            <v>1444</v>
          </cell>
        </row>
        <row r="553">
          <cell r="I553">
            <v>1444</v>
          </cell>
        </row>
        <row r="554">
          <cell r="I554">
            <v>2224</v>
          </cell>
        </row>
        <row r="555">
          <cell r="I555">
            <v>2674</v>
          </cell>
        </row>
        <row r="556">
          <cell r="I556">
            <v>3128</v>
          </cell>
        </row>
        <row r="562">
          <cell r="I562">
            <v>700</v>
          </cell>
        </row>
        <row r="563">
          <cell r="I563">
            <v>736</v>
          </cell>
        </row>
        <row r="564">
          <cell r="I564">
            <v>814</v>
          </cell>
        </row>
        <row r="565">
          <cell r="I565">
            <v>875</v>
          </cell>
        </row>
        <row r="566">
          <cell r="I566">
            <v>894</v>
          </cell>
        </row>
        <row r="567">
          <cell r="I567">
            <v>983</v>
          </cell>
        </row>
        <row r="568">
          <cell r="I568">
            <v>995</v>
          </cell>
        </row>
        <row r="570">
          <cell r="I570">
            <v>886</v>
          </cell>
        </row>
        <row r="571">
          <cell r="I571">
            <v>1104</v>
          </cell>
        </row>
        <row r="572">
          <cell r="I572">
            <v>1265</v>
          </cell>
        </row>
        <row r="575">
          <cell r="I575">
            <v>666</v>
          </cell>
        </row>
        <row r="576">
          <cell r="I576">
            <v>810</v>
          </cell>
        </row>
        <row r="582">
          <cell r="I582">
            <v>2386</v>
          </cell>
        </row>
        <row r="583">
          <cell r="I583">
            <v>2580</v>
          </cell>
        </row>
        <row r="584">
          <cell r="I584">
            <v>2818</v>
          </cell>
        </row>
        <row r="585">
          <cell r="I585">
            <v>3071</v>
          </cell>
        </row>
        <row r="589">
          <cell r="I589">
            <v>2325</v>
          </cell>
        </row>
        <row r="590">
          <cell r="I590">
            <v>2520</v>
          </cell>
        </row>
        <row r="591">
          <cell r="I591">
            <v>2757</v>
          </cell>
        </row>
        <row r="592">
          <cell r="I592">
            <v>3010</v>
          </cell>
        </row>
        <row r="596">
          <cell r="I596">
            <v>1485</v>
          </cell>
        </row>
        <row r="597">
          <cell r="I597">
            <v>1897</v>
          </cell>
        </row>
        <row r="598">
          <cell r="I598">
            <v>1495</v>
          </cell>
        </row>
        <row r="599">
          <cell r="I599">
            <v>1897</v>
          </cell>
        </row>
        <row r="603">
          <cell r="I603">
            <v>2472</v>
          </cell>
        </row>
        <row r="604">
          <cell r="I604">
            <v>2583</v>
          </cell>
        </row>
        <row r="605">
          <cell r="I605">
            <v>2680</v>
          </cell>
        </row>
        <row r="606">
          <cell r="I606">
            <v>2786</v>
          </cell>
        </row>
        <row r="607">
          <cell r="I607">
            <v>2890</v>
          </cell>
        </row>
        <row r="609">
          <cell r="I609">
            <v>2780</v>
          </cell>
        </row>
        <row r="610">
          <cell r="I610">
            <v>2902</v>
          </cell>
        </row>
        <row r="611">
          <cell r="I611">
            <v>3009</v>
          </cell>
        </row>
        <row r="612">
          <cell r="I612">
            <v>3127</v>
          </cell>
        </row>
        <row r="613">
          <cell r="I613">
            <v>3245</v>
          </cell>
        </row>
        <row r="615">
          <cell r="I615">
            <v>3326</v>
          </cell>
        </row>
        <row r="616">
          <cell r="I616">
            <v>3588</v>
          </cell>
        </row>
        <row r="617">
          <cell r="I617">
            <v>3766</v>
          </cell>
        </row>
        <row r="618">
          <cell r="I618">
            <v>3984</v>
          </cell>
        </row>
        <row r="619">
          <cell r="I619">
            <v>4203</v>
          </cell>
        </row>
        <row r="621">
          <cell r="I621">
            <v>3656</v>
          </cell>
        </row>
        <row r="622">
          <cell r="I622">
            <v>3912</v>
          </cell>
        </row>
        <row r="623">
          <cell r="I623">
            <v>4089</v>
          </cell>
        </row>
        <row r="624">
          <cell r="I624">
            <v>4307</v>
          </cell>
        </row>
        <row r="625">
          <cell r="I625">
            <v>4526</v>
          </cell>
        </row>
        <row r="631">
          <cell r="I631">
            <v>522</v>
          </cell>
        </row>
        <row r="632">
          <cell r="I632">
            <v>538</v>
          </cell>
        </row>
        <row r="633">
          <cell r="I633">
            <v>619</v>
          </cell>
        </row>
        <row r="634">
          <cell r="I634">
            <v>644</v>
          </cell>
        </row>
        <row r="635">
          <cell r="I635">
            <v>664</v>
          </cell>
        </row>
        <row r="636">
          <cell r="I636">
            <v>1201</v>
          </cell>
        </row>
        <row r="637">
          <cell r="I637">
            <v>1396</v>
          </cell>
        </row>
        <row r="638">
          <cell r="I638">
            <v>1634</v>
          </cell>
        </row>
        <row r="639">
          <cell r="I639">
            <v>1739</v>
          </cell>
        </row>
        <row r="640">
          <cell r="I640">
            <v>1844</v>
          </cell>
        </row>
        <row r="642">
          <cell r="I642">
            <v>755</v>
          </cell>
        </row>
        <row r="643">
          <cell r="I643">
            <v>782</v>
          </cell>
        </row>
        <row r="644">
          <cell r="I644">
            <v>876</v>
          </cell>
        </row>
        <row r="645">
          <cell r="I645">
            <v>910</v>
          </cell>
        </row>
        <row r="646">
          <cell r="I646">
            <v>947</v>
          </cell>
        </row>
        <row r="647">
          <cell r="I647">
            <v>1433</v>
          </cell>
        </row>
        <row r="648">
          <cell r="I648">
            <v>1638</v>
          </cell>
        </row>
        <row r="649">
          <cell r="I649">
            <v>1891</v>
          </cell>
        </row>
        <row r="650">
          <cell r="I650">
            <v>2009</v>
          </cell>
        </row>
        <row r="651">
          <cell r="I651">
            <v>2125</v>
          </cell>
        </row>
        <row r="655">
          <cell r="I655">
            <v>6031</v>
          </cell>
        </row>
        <row r="656">
          <cell r="I656">
            <v>7097</v>
          </cell>
        </row>
        <row r="657">
          <cell r="I657">
            <v>8192</v>
          </cell>
        </row>
        <row r="659">
          <cell r="I659">
            <v>4725</v>
          </cell>
        </row>
        <row r="660">
          <cell r="I660">
            <v>5745</v>
          </cell>
        </row>
        <row r="661">
          <cell r="I661">
            <v>6690</v>
          </cell>
        </row>
        <row r="663">
          <cell r="I663">
            <v>6923</v>
          </cell>
        </row>
        <row r="664">
          <cell r="I664">
            <v>8289</v>
          </cell>
        </row>
        <row r="665">
          <cell r="I665">
            <v>9867</v>
          </cell>
        </row>
        <row r="667">
          <cell r="I667">
            <v>5401</v>
          </cell>
        </row>
        <row r="668">
          <cell r="I668">
            <v>6716</v>
          </cell>
        </row>
        <row r="669">
          <cell r="I669">
            <v>8248</v>
          </cell>
        </row>
        <row r="674">
          <cell r="I674">
            <v>245</v>
          </cell>
        </row>
        <row r="675">
          <cell r="I675">
            <v>936</v>
          </cell>
        </row>
        <row r="679">
          <cell r="I679">
            <v>6203</v>
          </cell>
        </row>
        <row r="680">
          <cell r="I680">
            <v>7440</v>
          </cell>
        </row>
        <row r="681">
          <cell r="I681">
            <v>8684</v>
          </cell>
        </row>
        <row r="683">
          <cell r="I683">
            <v>4486</v>
          </cell>
        </row>
        <row r="684">
          <cell r="I684">
            <v>5628</v>
          </cell>
        </row>
        <row r="685">
          <cell r="I685">
            <v>6869</v>
          </cell>
        </row>
        <row r="687">
          <cell r="I687">
            <v>7338</v>
          </cell>
        </row>
        <row r="688">
          <cell r="I688">
            <v>8346</v>
          </cell>
        </row>
        <row r="689">
          <cell r="I689">
            <v>10830</v>
          </cell>
        </row>
        <row r="691">
          <cell r="I691">
            <v>5388</v>
          </cell>
        </row>
        <row r="692">
          <cell r="I692">
            <v>7222</v>
          </cell>
        </row>
        <row r="693">
          <cell r="I693">
            <v>8857</v>
          </cell>
        </row>
        <row r="697">
          <cell r="I697">
            <v>182</v>
          </cell>
        </row>
        <row r="698">
          <cell r="I698">
            <v>193</v>
          </cell>
        </row>
        <row r="699">
          <cell r="I699">
            <v>201</v>
          </cell>
        </row>
        <row r="700">
          <cell r="I700">
            <v>206</v>
          </cell>
        </row>
        <row r="701">
          <cell r="I701">
            <v>211</v>
          </cell>
        </row>
        <row r="702">
          <cell r="I702">
            <v>237</v>
          </cell>
        </row>
        <row r="703">
          <cell r="I703">
            <v>252</v>
          </cell>
        </row>
        <row r="704">
          <cell r="I704">
            <v>306</v>
          </cell>
        </row>
        <row r="706">
          <cell r="I706">
            <v>206</v>
          </cell>
        </row>
        <row r="707">
          <cell r="I707">
            <v>217</v>
          </cell>
        </row>
        <row r="708">
          <cell r="I708">
            <v>228</v>
          </cell>
        </row>
        <row r="709">
          <cell r="I709">
            <v>241</v>
          </cell>
        </row>
        <row r="710">
          <cell r="I710">
            <v>243</v>
          </cell>
        </row>
        <row r="711">
          <cell r="I711">
            <v>253</v>
          </cell>
        </row>
        <row r="712">
          <cell r="I712">
            <v>274</v>
          </cell>
        </row>
        <row r="713">
          <cell r="I713">
            <v>330</v>
          </cell>
        </row>
        <row r="715">
          <cell r="I715">
            <v>162</v>
          </cell>
        </row>
        <row r="716">
          <cell r="I716">
            <v>167</v>
          </cell>
        </row>
        <row r="717">
          <cell r="I717">
            <v>174</v>
          </cell>
        </row>
        <row r="718">
          <cell r="I718">
            <v>190</v>
          </cell>
        </row>
        <row r="719">
          <cell r="I719">
            <v>193</v>
          </cell>
        </row>
        <row r="720">
          <cell r="I720">
            <v>200</v>
          </cell>
        </row>
        <row r="721">
          <cell r="I721">
            <v>205</v>
          </cell>
        </row>
        <row r="722">
          <cell r="I722">
            <v>219</v>
          </cell>
        </row>
        <row r="724">
          <cell r="I724">
            <v>322</v>
          </cell>
        </row>
        <row r="725">
          <cell r="I725">
            <v>330</v>
          </cell>
        </row>
        <row r="726">
          <cell r="I726">
            <v>348</v>
          </cell>
        </row>
        <row r="727">
          <cell r="I727">
            <v>379</v>
          </cell>
        </row>
        <row r="728">
          <cell r="I728">
            <v>382</v>
          </cell>
        </row>
        <row r="729">
          <cell r="I729">
            <v>393</v>
          </cell>
        </row>
        <row r="730">
          <cell r="I730">
            <v>406</v>
          </cell>
        </row>
        <row r="731">
          <cell r="I731">
            <v>451</v>
          </cell>
        </row>
        <row r="733">
          <cell r="I733">
            <v>168</v>
          </cell>
        </row>
        <row r="734">
          <cell r="I734">
            <v>171</v>
          </cell>
        </row>
        <row r="735">
          <cell r="I735">
            <v>182</v>
          </cell>
        </row>
        <row r="736">
          <cell r="I736">
            <v>195</v>
          </cell>
        </row>
        <row r="737">
          <cell r="I737">
            <v>199</v>
          </cell>
        </row>
        <row r="738">
          <cell r="I738">
            <v>204</v>
          </cell>
        </row>
        <row r="739">
          <cell r="I739">
            <v>211</v>
          </cell>
        </row>
        <row r="740">
          <cell r="I740">
            <v>255</v>
          </cell>
        </row>
        <row r="742">
          <cell r="I742">
            <v>331</v>
          </cell>
        </row>
        <row r="743">
          <cell r="I743">
            <v>338</v>
          </cell>
        </row>
        <row r="744">
          <cell r="I744">
            <v>362</v>
          </cell>
        </row>
        <row r="745">
          <cell r="I745">
            <v>391</v>
          </cell>
        </row>
        <row r="746">
          <cell r="I746">
            <v>394</v>
          </cell>
        </row>
        <row r="747">
          <cell r="I747">
            <v>406</v>
          </cell>
        </row>
        <row r="748">
          <cell r="I748">
            <v>421</v>
          </cell>
        </row>
        <row r="749">
          <cell r="I749">
            <v>466</v>
          </cell>
        </row>
        <row r="753">
          <cell r="I753">
            <v>1631</v>
          </cell>
        </row>
        <row r="754">
          <cell r="I754">
            <v>1945</v>
          </cell>
        </row>
        <row r="758">
          <cell r="I758">
            <v>1555</v>
          </cell>
        </row>
        <row r="759">
          <cell r="I759">
            <v>1652</v>
          </cell>
        </row>
        <row r="760">
          <cell r="I760">
            <v>1792</v>
          </cell>
        </row>
        <row r="764">
          <cell r="I764">
            <v>91</v>
          </cell>
        </row>
        <row r="766">
          <cell r="I766">
            <v>255</v>
          </cell>
        </row>
        <row r="767">
          <cell r="I767">
            <v>259</v>
          </cell>
        </row>
        <row r="768">
          <cell r="I768">
            <v>532</v>
          </cell>
        </row>
        <row r="774">
          <cell r="I774">
            <v>233</v>
          </cell>
        </row>
        <row r="775">
          <cell r="I775">
            <v>239</v>
          </cell>
        </row>
        <row r="776">
          <cell r="I776">
            <v>248</v>
          </cell>
        </row>
        <row r="777">
          <cell r="I777">
            <v>260</v>
          </cell>
        </row>
        <row r="778">
          <cell r="I778">
            <v>269</v>
          </cell>
        </row>
        <row r="779">
          <cell r="I779">
            <v>275</v>
          </cell>
        </row>
        <row r="780">
          <cell r="I780">
            <v>270</v>
          </cell>
        </row>
        <row r="781">
          <cell r="I781">
            <v>278</v>
          </cell>
        </row>
        <row r="782">
          <cell r="I782">
            <v>290</v>
          </cell>
        </row>
        <row r="783">
          <cell r="I783">
            <v>306</v>
          </cell>
        </row>
        <row r="784">
          <cell r="I784">
            <v>318</v>
          </cell>
        </row>
        <row r="785">
          <cell r="I785">
            <v>326</v>
          </cell>
        </row>
        <row r="786">
          <cell r="I786">
            <v>307</v>
          </cell>
        </row>
        <row r="787">
          <cell r="I787">
            <v>317</v>
          </cell>
        </row>
        <row r="788">
          <cell r="I788">
            <v>332</v>
          </cell>
        </row>
        <row r="789">
          <cell r="I789">
            <v>352</v>
          </cell>
        </row>
        <row r="790">
          <cell r="I790">
            <v>367</v>
          </cell>
        </row>
        <row r="791">
          <cell r="I791">
            <v>377</v>
          </cell>
        </row>
        <row r="793">
          <cell r="I793">
            <v>373</v>
          </cell>
        </row>
        <row r="794">
          <cell r="I794">
            <v>379</v>
          </cell>
        </row>
        <row r="795">
          <cell r="I795">
            <v>388</v>
          </cell>
        </row>
        <row r="796">
          <cell r="I796">
            <v>400</v>
          </cell>
        </row>
        <row r="797">
          <cell r="I797">
            <v>409</v>
          </cell>
        </row>
        <row r="798">
          <cell r="I798">
            <v>415</v>
          </cell>
        </row>
        <row r="799">
          <cell r="I799">
            <v>411</v>
          </cell>
        </row>
        <row r="800">
          <cell r="I800">
            <v>419</v>
          </cell>
        </row>
        <row r="801">
          <cell r="I801">
            <v>431</v>
          </cell>
        </row>
        <row r="802">
          <cell r="I802">
            <v>447</v>
          </cell>
        </row>
        <row r="803">
          <cell r="I803">
            <v>459</v>
          </cell>
        </row>
        <row r="804">
          <cell r="I804">
            <v>467</v>
          </cell>
        </row>
        <row r="805">
          <cell r="I805">
            <v>449</v>
          </cell>
        </row>
        <row r="806">
          <cell r="I806">
            <v>459</v>
          </cell>
        </row>
        <row r="807">
          <cell r="I807">
            <v>474</v>
          </cell>
        </row>
        <row r="808">
          <cell r="I808">
            <v>494</v>
          </cell>
        </row>
        <row r="809">
          <cell r="I809">
            <v>509</v>
          </cell>
        </row>
        <row r="810">
          <cell r="I810">
            <v>519</v>
          </cell>
        </row>
        <row r="812">
          <cell r="I812">
            <v>378</v>
          </cell>
        </row>
        <row r="813">
          <cell r="I813">
            <v>387</v>
          </cell>
        </row>
        <row r="814">
          <cell r="I814">
            <v>393</v>
          </cell>
        </row>
        <row r="815">
          <cell r="I815">
            <v>405</v>
          </cell>
        </row>
        <row r="816">
          <cell r="I816">
            <v>423</v>
          </cell>
        </row>
        <row r="817">
          <cell r="I817">
            <v>441</v>
          </cell>
        </row>
        <row r="818">
          <cell r="I818">
            <v>417</v>
          </cell>
        </row>
        <row r="819">
          <cell r="I819">
            <v>429</v>
          </cell>
        </row>
        <row r="820">
          <cell r="I820">
            <v>437</v>
          </cell>
        </row>
        <row r="821">
          <cell r="I821">
            <v>453</v>
          </cell>
        </row>
        <row r="822">
          <cell r="I822">
            <v>477</v>
          </cell>
        </row>
        <row r="823">
          <cell r="I823">
            <v>501</v>
          </cell>
        </row>
        <row r="824">
          <cell r="I824">
            <v>456</v>
          </cell>
        </row>
        <row r="825">
          <cell r="I825">
            <v>471</v>
          </cell>
        </row>
        <row r="826">
          <cell r="I826">
            <v>481</v>
          </cell>
        </row>
        <row r="827">
          <cell r="I827">
            <v>501</v>
          </cell>
        </row>
        <row r="828">
          <cell r="I828">
            <v>531</v>
          </cell>
        </row>
        <row r="829">
          <cell r="I829">
            <v>561</v>
          </cell>
        </row>
        <row r="835">
          <cell r="I835">
            <v>308</v>
          </cell>
        </row>
        <row r="836">
          <cell r="I836">
            <v>317</v>
          </cell>
        </row>
        <row r="837">
          <cell r="I837">
            <v>326</v>
          </cell>
        </row>
        <row r="838">
          <cell r="I838">
            <v>368</v>
          </cell>
        </row>
        <row r="839">
          <cell r="I839">
            <v>383</v>
          </cell>
        </row>
        <row r="840">
          <cell r="I840">
            <v>389</v>
          </cell>
        </row>
        <row r="841">
          <cell r="I841">
            <v>370</v>
          </cell>
        </row>
        <row r="842">
          <cell r="I842">
            <v>382</v>
          </cell>
        </row>
        <row r="843">
          <cell r="I843">
            <v>394</v>
          </cell>
        </row>
        <row r="844">
          <cell r="I844">
            <v>450</v>
          </cell>
        </row>
        <row r="845">
          <cell r="I845">
            <v>470</v>
          </cell>
        </row>
        <row r="846">
          <cell r="I846">
            <v>478</v>
          </cell>
        </row>
        <row r="847">
          <cell r="I847">
            <v>432</v>
          </cell>
        </row>
        <row r="848">
          <cell r="I848">
            <v>447</v>
          </cell>
        </row>
        <row r="849">
          <cell r="I849">
            <v>462</v>
          </cell>
        </row>
        <row r="850">
          <cell r="I850">
            <v>532</v>
          </cell>
        </row>
        <row r="851">
          <cell r="I851">
            <v>557</v>
          </cell>
        </row>
        <row r="852">
          <cell r="I852">
            <v>567</v>
          </cell>
        </row>
        <row r="854">
          <cell r="I854">
            <v>457</v>
          </cell>
        </row>
        <row r="855">
          <cell r="I855">
            <v>466</v>
          </cell>
        </row>
        <row r="856">
          <cell r="I856">
            <v>475</v>
          </cell>
        </row>
        <row r="857">
          <cell r="I857">
            <v>520</v>
          </cell>
        </row>
        <row r="858">
          <cell r="I858">
            <v>535</v>
          </cell>
        </row>
        <row r="859">
          <cell r="I859">
            <v>544</v>
          </cell>
        </row>
        <row r="860">
          <cell r="I860">
            <v>523</v>
          </cell>
        </row>
        <row r="861">
          <cell r="I861">
            <v>535</v>
          </cell>
        </row>
        <row r="862">
          <cell r="I862">
            <v>547</v>
          </cell>
        </row>
        <row r="863">
          <cell r="I863">
            <v>607</v>
          </cell>
        </row>
        <row r="864">
          <cell r="I864">
            <v>627</v>
          </cell>
        </row>
        <row r="865">
          <cell r="I865">
            <v>639</v>
          </cell>
        </row>
        <row r="866">
          <cell r="I866">
            <v>589</v>
          </cell>
        </row>
        <row r="867">
          <cell r="I867">
            <v>604</v>
          </cell>
        </row>
        <row r="868">
          <cell r="I868">
            <v>619</v>
          </cell>
        </row>
        <row r="869">
          <cell r="I869">
            <v>694</v>
          </cell>
        </row>
        <row r="870">
          <cell r="I870">
            <v>719</v>
          </cell>
        </row>
        <row r="871">
          <cell r="I871">
            <v>734</v>
          </cell>
        </row>
        <row r="873">
          <cell r="I873">
            <v>468</v>
          </cell>
        </row>
        <row r="874">
          <cell r="I874">
            <v>483</v>
          </cell>
        </row>
        <row r="875">
          <cell r="I875">
            <v>492</v>
          </cell>
        </row>
        <row r="876">
          <cell r="I876">
            <v>540</v>
          </cell>
        </row>
        <row r="877">
          <cell r="I877">
            <v>558</v>
          </cell>
        </row>
        <row r="878">
          <cell r="I878">
            <v>570</v>
          </cell>
        </row>
        <row r="879">
          <cell r="I879">
            <v>537</v>
          </cell>
        </row>
        <row r="880">
          <cell r="I880">
            <v>557</v>
          </cell>
        </row>
        <row r="881">
          <cell r="I881">
            <v>569</v>
          </cell>
        </row>
        <row r="882">
          <cell r="I882">
            <v>633</v>
          </cell>
        </row>
        <row r="883">
          <cell r="I883">
            <v>657</v>
          </cell>
        </row>
        <row r="884">
          <cell r="I884">
            <v>673</v>
          </cell>
        </row>
        <row r="885">
          <cell r="I885">
            <v>606</v>
          </cell>
        </row>
        <row r="886">
          <cell r="I886">
            <v>631</v>
          </cell>
        </row>
        <row r="887">
          <cell r="I887">
            <v>646</v>
          </cell>
        </row>
        <row r="888">
          <cell r="I888">
            <v>726</v>
          </cell>
        </row>
        <row r="889">
          <cell r="I889">
            <v>756</v>
          </cell>
        </row>
        <row r="890">
          <cell r="I890">
            <v>776</v>
          </cell>
        </row>
      </sheetData>
      <sheetData sheetId="3">
        <row r="4">
          <cell r="I4">
            <v>1080</v>
          </cell>
        </row>
        <row r="5">
          <cell r="I5">
            <v>1730</v>
          </cell>
        </row>
        <row r="6">
          <cell r="I6">
            <v>2255</v>
          </cell>
        </row>
        <row r="7">
          <cell r="I7">
            <v>2780</v>
          </cell>
        </row>
        <row r="8">
          <cell r="I8">
            <v>220</v>
          </cell>
        </row>
        <row r="9">
          <cell r="I9">
            <v>510</v>
          </cell>
        </row>
        <row r="10">
          <cell r="I10">
            <v>665</v>
          </cell>
        </row>
        <row r="11">
          <cell r="I11">
            <v>615</v>
          </cell>
        </row>
        <row r="12">
          <cell r="I12">
            <v>605</v>
          </cell>
        </row>
        <row r="13">
          <cell r="I13">
            <v>905</v>
          </cell>
        </row>
        <row r="16">
          <cell r="I16">
            <v>870</v>
          </cell>
        </row>
        <row r="20">
          <cell r="I20">
            <v>940</v>
          </cell>
        </row>
        <row r="24">
          <cell r="I24">
            <v>1025</v>
          </cell>
        </row>
        <row r="31">
          <cell r="I31">
            <v>575</v>
          </cell>
        </row>
        <row r="32">
          <cell r="I32">
            <v>575</v>
          </cell>
        </row>
        <row r="34">
          <cell r="I34">
            <v>275</v>
          </cell>
        </row>
        <row r="35">
          <cell r="I35">
            <v>480</v>
          </cell>
        </row>
        <row r="36">
          <cell r="I36">
            <v>140</v>
          </cell>
        </row>
        <row r="37">
          <cell r="I37">
            <v>395</v>
          </cell>
        </row>
        <row r="38">
          <cell r="I38">
            <v>395</v>
          </cell>
        </row>
        <row r="39">
          <cell r="I39">
            <v>565</v>
          </cell>
        </row>
        <row r="40">
          <cell r="I40">
            <v>165</v>
          </cell>
        </row>
        <row r="41">
          <cell r="I41">
            <v>165</v>
          </cell>
        </row>
        <row r="42">
          <cell r="I42">
            <v>855</v>
          </cell>
        </row>
        <row r="43">
          <cell r="I43">
            <v>1085</v>
          </cell>
        </row>
        <row r="44">
          <cell r="I44">
            <v>1200</v>
          </cell>
        </row>
        <row r="45">
          <cell r="I45">
            <v>425</v>
          </cell>
        </row>
        <row r="46">
          <cell r="I46">
            <v>565</v>
          </cell>
        </row>
        <row r="47">
          <cell r="I47">
            <v>665</v>
          </cell>
        </row>
        <row r="50">
          <cell r="I50">
            <v>845</v>
          </cell>
        </row>
        <row r="51">
          <cell r="I51">
            <v>845</v>
          </cell>
        </row>
        <row r="52">
          <cell r="I52">
            <v>275</v>
          </cell>
        </row>
        <row r="53">
          <cell r="I53">
            <v>480</v>
          </cell>
        </row>
        <row r="54">
          <cell r="I54">
            <v>140</v>
          </cell>
        </row>
        <row r="55">
          <cell r="I55">
            <v>395</v>
          </cell>
        </row>
        <row r="66">
          <cell r="I66">
            <v>1140</v>
          </cell>
        </row>
        <row r="67">
          <cell r="I67">
            <v>1925</v>
          </cell>
        </row>
        <row r="68">
          <cell r="I68">
            <v>3860</v>
          </cell>
        </row>
        <row r="69">
          <cell r="I69">
            <v>2625</v>
          </cell>
        </row>
        <row r="72">
          <cell r="I72">
            <v>125</v>
          </cell>
        </row>
        <row r="73">
          <cell r="I73">
            <v>215</v>
          </cell>
        </row>
        <row r="74">
          <cell r="I74">
            <v>255</v>
          </cell>
        </row>
        <row r="75">
          <cell r="I75">
            <v>310</v>
          </cell>
        </row>
        <row r="76">
          <cell r="I76">
            <v>295</v>
          </cell>
        </row>
        <row r="77">
          <cell r="I77">
            <v>345</v>
          </cell>
        </row>
        <row r="78">
          <cell r="I78">
            <v>565</v>
          </cell>
        </row>
        <row r="79">
          <cell r="I79">
            <v>235</v>
          </cell>
        </row>
        <row r="82">
          <cell r="I82">
            <v>1195</v>
          </cell>
        </row>
        <row r="83">
          <cell r="I83">
            <v>1385</v>
          </cell>
        </row>
        <row r="87">
          <cell r="I87">
            <v>340</v>
          </cell>
        </row>
        <row r="88">
          <cell r="I88">
            <v>430</v>
          </cell>
        </row>
        <row r="89">
          <cell r="I89">
            <v>450</v>
          </cell>
        </row>
        <row r="90">
          <cell r="I90">
            <v>590</v>
          </cell>
        </row>
        <row r="91">
          <cell r="I91">
            <v>705</v>
          </cell>
        </row>
        <row r="92">
          <cell r="I92">
            <v>770</v>
          </cell>
        </row>
        <row r="93">
          <cell r="I93">
            <v>870</v>
          </cell>
        </row>
        <row r="94">
          <cell r="I94">
            <v>1050</v>
          </cell>
        </row>
        <row r="95">
          <cell r="I95">
            <v>1190</v>
          </cell>
        </row>
      </sheetData>
      <sheetData sheetId="4">
        <row r="9">
          <cell r="I9">
            <v>4539</v>
          </cell>
        </row>
        <row r="10">
          <cell r="I10">
            <v>4736</v>
          </cell>
        </row>
        <row r="14">
          <cell r="I14">
            <v>381</v>
          </cell>
        </row>
        <row r="15">
          <cell r="I15">
            <v>723</v>
          </cell>
        </row>
        <row r="33">
          <cell r="I33">
            <v>7975</v>
          </cell>
        </row>
        <row r="35">
          <cell r="I35">
            <v>9739</v>
          </cell>
        </row>
        <row r="36">
          <cell r="I36">
            <v>10365</v>
          </cell>
        </row>
        <row r="37">
          <cell r="I37">
            <v>9660</v>
          </cell>
        </row>
        <row r="39">
          <cell r="I39">
            <v>11550</v>
          </cell>
        </row>
        <row r="40">
          <cell r="I40">
            <v>12150</v>
          </cell>
        </row>
        <row r="41">
          <cell r="I41">
            <v>120</v>
          </cell>
        </row>
        <row r="42">
          <cell r="I42">
            <v>427</v>
          </cell>
        </row>
        <row r="43">
          <cell r="I43">
            <v>301</v>
          </cell>
        </row>
        <row r="45">
          <cell r="I45">
            <v>797</v>
          </cell>
        </row>
      </sheetData>
      <sheetData sheetId="5">
        <row r="4">
          <cell r="I4">
            <v>2660</v>
          </cell>
        </row>
        <row r="5">
          <cell r="I5">
            <v>2870</v>
          </cell>
        </row>
        <row r="6">
          <cell r="I6">
            <v>3330</v>
          </cell>
        </row>
        <row r="9">
          <cell r="I9">
            <v>400</v>
          </cell>
        </row>
        <row r="11">
          <cell r="I11">
            <v>3950</v>
          </cell>
        </row>
        <row r="13">
          <cell r="I13">
            <v>4195</v>
          </cell>
        </row>
        <row r="15">
          <cell r="I15">
            <v>4945</v>
          </cell>
        </row>
        <row r="29">
          <cell r="I29">
            <v>6480</v>
          </cell>
        </row>
        <row r="31">
          <cell r="I31">
            <v>7410</v>
          </cell>
        </row>
        <row r="32">
          <cell r="I32">
            <v>7410</v>
          </cell>
        </row>
        <row r="33">
          <cell r="I33">
            <v>336</v>
          </cell>
        </row>
        <row r="34">
          <cell r="I34">
            <v>471</v>
          </cell>
        </row>
        <row r="35">
          <cell r="I35">
            <v>279</v>
          </cell>
        </row>
        <row r="40">
          <cell r="I40">
            <v>13660</v>
          </cell>
        </row>
        <row r="41">
          <cell r="I41">
            <v>14740</v>
          </cell>
        </row>
        <row r="42">
          <cell r="I42">
            <v>16950</v>
          </cell>
        </row>
        <row r="43">
          <cell r="I43">
            <v>19660</v>
          </cell>
        </row>
        <row r="44">
          <cell r="I44">
            <v>21840</v>
          </cell>
        </row>
        <row r="45">
          <cell r="I45">
            <v>20240</v>
          </cell>
        </row>
        <row r="46">
          <cell r="I46">
            <v>22420</v>
          </cell>
        </row>
        <row r="47">
          <cell r="I47">
            <v>25000</v>
          </cell>
        </row>
        <row r="48">
          <cell r="I48">
            <v>27150</v>
          </cell>
        </row>
        <row r="49">
          <cell r="I49">
            <v>35320</v>
          </cell>
        </row>
        <row r="50">
          <cell r="I50">
            <v>37600</v>
          </cell>
        </row>
        <row r="51">
          <cell r="I51">
            <v>1320</v>
          </cell>
        </row>
        <row r="52">
          <cell r="I52">
            <v>1920</v>
          </cell>
        </row>
        <row r="53">
          <cell r="I53">
            <v>2330</v>
          </cell>
        </row>
        <row r="54">
          <cell r="I54">
            <v>2630</v>
          </cell>
        </row>
        <row r="55">
          <cell r="I55">
            <v>3510</v>
          </cell>
        </row>
        <row r="56">
          <cell r="I56">
            <v>4270</v>
          </cell>
        </row>
        <row r="57">
          <cell r="I57">
            <v>5360</v>
          </cell>
        </row>
        <row r="58">
          <cell r="I58">
            <v>16185</v>
          </cell>
        </row>
        <row r="59">
          <cell r="I59">
            <v>4310</v>
          </cell>
        </row>
        <row r="62">
          <cell r="I62">
            <v>25020</v>
          </cell>
        </row>
        <row r="63">
          <cell r="I63">
            <v>31120</v>
          </cell>
        </row>
        <row r="64">
          <cell r="I64">
            <v>35130</v>
          </cell>
        </row>
        <row r="65">
          <cell r="I65">
            <v>37830</v>
          </cell>
        </row>
        <row r="66">
          <cell r="I66">
            <v>41770</v>
          </cell>
        </row>
        <row r="67">
          <cell r="I67">
            <v>44450</v>
          </cell>
        </row>
        <row r="68">
          <cell r="I68">
            <v>1460</v>
          </cell>
        </row>
        <row r="69">
          <cell r="I69">
            <v>2020</v>
          </cell>
        </row>
        <row r="70">
          <cell r="I70">
            <v>2450</v>
          </cell>
        </row>
        <row r="71">
          <cell r="I71">
            <v>2790</v>
          </cell>
        </row>
        <row r="72">
          <cell r="I72">
            <v>3030</v>
          </cell>
        </row>
        <row r="73">
          <cell r="I73">
            <v>3310</v>
          </cell>
        </row>
        <row r="74">
          <cell r="I74">
            <v>5360</v>
          </cell>
        </row>
        <row r="75">
          <cell r="I75">
            <v>16185</v>
          </cell>
        </row>
        <row r="76">
          <cell r="I76">
            <v>4870</v>
          </cell>
        </row>
        <row r="81">
          <cell r="I81">
            <v>3750</v>
          </cell>
        </row>
        <row r="82">
          <cell r="I82">
            <v>6020</v>
          </cell>
        </row>
        <row r="83">
          <cell r="I83">
            <v>7700</v>
          </cell>
        </row>
      </sheetData>
      <sheetData sheetId="6">
        <row r="6">
          <cell r="I6">
            <v>50.92</v>
          </cell>
        </row>
        <row r="8">
          <cell r="I8">
            <v>61.92</v>
          </cell>
        </row>
        <row r="10">
          <cell r="I10">
            <v>71.92</v>
          </cell>
        </row>
        <row r="14">
          <cell r="I14">
            <v>66</v>
          </cell>
        </row>
        <row r="15">
          <cell r="I15">
            <v>73.5</v>
          </cell>
        </row>
        <row r="16">
          <cell r="I16">
            <v>82.5</v>
          </cell>
        </row>
        <row r="17">
          <cell r="I17">
            <v>90</v>
          </cell>
        </row>
        <row r="18">
          <cell r="I18">
            <v>97.5</v>
          </cell>
        </row>
        <row r="19">
          <cell r="I19">
            <v>106.5</v>
          </cell>
        </row>
        <row r="26">
          <cell r="I26">
            <v>130</v>
          </cell>
        </row>
        <row r="38">
          <cell r="I38">
            <v>648</v>
          </cell>
        </row>
        <row r="39">
          <cell r="I39">
            <v>695</v>
          </cell>
        </row>
        <row r="40">
          <cell r="I40">
            <v>719</v>
          </cell>
        </row>
        <row r="41">
          <cell r="I41">
            <v>794</v>
          </cell>
        </row>
        <row r="49">
          <cell r="I49">
            <v>872</v>
          </cell>
        </row>
        <row r="50">
          <cell r="I50">
            <v>899</v>
          </cell>
        </row>
        <row r="51">
          <cell r="I51">
            <v>982</v>
          </cell>
        </row>
        <row r="65">
          <cell r="I65">
            <v>1223</v>
          </cell>
        </row>
        <row r="66">
          <cell r="I66">
            <v>1270</v>
          </cell>
        </row>
        <row r="67">
          <cell r="I67">
            <v>1294</v>
          </cell>
        </row>
        <row r="68">
          <cell r="I68">
            <v>1369</v>
          </cell>
        </row>
        <row r="76">
          <cell r="I76">
            <v>2363</v>
          </cell>
        </row>
        <row r="77">
          <cell r="I77">
            <v>2510</v>
          </cell>
        </row>
        <row r="78">
          <cell r="I78">
            <v>2613</v>
          </cell>
        </row>
        <row r="99">
          <cell r="I99">
            <v>2363</v>
          </cell>
        </row>
        <row r="100">
          <cell r="I100">
            <v>2510</v>
          </cell>
        </row>
        <row r="101">
          <cell r="I101">
            <v>2613</v>
          </cell>
        </row>
        <row r="128">
          <cell r="I128">
            <v>50.92</v>
          </cell>
        </row>
        <row r="129">
          <cell r="I129">
            <v>55.92</v>
          </cell>
        </row>
        <row r="130">
          <cell r="I130">
            <v>61.92</v>
          </cell>
        </row>
        <row r="131">
          <cell r="I131">
            <v>50.92</v>
          </cell>
        </row>
        <row r="132">
          <cell r="I132">
            <v>334.29759999999999</v>
          </cell>
        </row>
        <row r="133">
          <cell r="I133">
            <v>339.0016</v>
          </cell>
        </row>
        <row r="134">
          <cell r="I134">
            <v>348.63359999999994</v>
          </cell>
        </row>
        <row r="135">
          <cell r="I135">
            <v>833.14559999999994</v>
          </cell>
        </row>
        <row r="136">
          <cell r="I136">
            <v>841.54560000000004</v>
          </cell>
        </row>
        <row r="137">
          <cell r="I137">
            <v>306.09119999999996</v>
          </cell>
        </row>
        <row r="138">
          <cell r="I138">
            <v>322.89120000000003</v>
          </cell>
        </row>
        <row r="141">
          <cell r="I141">
            <v>1030</v>
          </cell>
        </row>
        <row r="142">
          <cell r="I142">
            <v>1030</v>
          </cell>
        </row>
        <row r="143">
          <cell r="I143">
            <v>1040</v>
          </cell>
        </row>
        <row r="144">
          <cell r="I144">
            <v>1040</v>
          </cell>
        </row>
        <row r="145">
          <cell r="I145">
            <v>1040</v>
          </cell>
        </row>
        <row r="146">
          <cell r="I146">
            <v>1484</v>
          </cell>
        </row>
        <row r="147">
          <cell r="I147">
            <v>1484</v>
          </cell>
        </row>
        <row r="148">
          <cell r="I148">
            <v>1484</v>
          </cell>
        </row>
        <row r="150">
          <cell r="I150">
            <v>1120</v>
          </cell>
        </row>
        <row r="151">
          <cell r="I151">
            <v>1120</v>
          </cell>
        </row>
        <row r="152">
          <cell r="I152">
            <v>1120</v>
          </cell>
        </row>
        <row r="153">
          <cell r="I153">
            <v>1120</v>
          </cell>
        </row>
        <row r="154">
          <cell r="I154">
            <v>1120</v>
          </cell>
        </row>
        <row r="155">
          <cell r="I155">
            <v>1595</v>
          </cell>
        </row>
        <row r="156">
          <cell r="I156">
            <v>1595</v>
          </cell>
        </row>
        <row r="157">
          <cell r="I157">
            <v>1595</v>
          </cell>
        </row>
        <row r="159">
          <cell r="I159">
            <v>1500</v>
          </cell>
        </row>
        <row r="160">
          <cell r="I160">
            <v>1500</v>
          </cell>
        </row>
        <row r="161">
          <cell r="I161">
            <v>1500</v>
          </cell>
        </row>
        <row r="162">
          <cell r="I162">
            <v>1500</v>
          </cell>
        </row>
        <row r="163">
          <cell r="I163">
            <v>1500</v>
          </cell>
        </row>
        <row r="164">
          <cell r="I164">
            <v>1987</v>
          </cell>
        </row>
        <row r="165">
          <cell r="I165">
            <v>1987</v>
          </cell>
        </row>
        <row r="166">
          <cell r="I166">
            <v>1987</v>
          </cell>
        </row>
        <row r="168">
          <cell r="I168">
            <v>1096</v>
          </cell>
        </row>
        <row r="169">
          <cell r="I169">
            <v>1096</v>
          </cell>
        </row>
        <row r="170">
          <cell r="I170">
            <v>1096</v>
          </cell>
        </row>
        <row r="171">
          <cell r="I171">
            <v>1395</v>
          </cell>
        </row>
        <row r="172">
          <cell r="I172">
            <v>1395</v>
          </cell>
        </row>
        <row r="173">
          <cell r="I173">
            <v>1395</v>
          </cell>
        </row>
        <row r="174">
          <cell r="I174">
            <v>1485</v>
          </cell>
        </row>
        <row r="175">
          <cell r="I175">
            <v>1485</v>
          </cell>
        </row>
        <row r="177">
          <cell r="I177">
            <v>1355</v>
          </cell>
        </row>
        <row r="178">
          <cell r="I178">
            <v>1355</v>
          </cell>
        </row>
        <row r="179">
          <cell r="I179">
            <v>1355</v>
          </cell>
        </row>
        <row r="180">
          <cell r="I180">
            <v>1701</v>
          </cell>
        </row>
        <row r="181">
          <cell r="I181">
            <v>1701</v>
          </cell>
        </row>
        <row r="182">
          <cell r="I182">
            <v>1701</v>
          </cell>
        </row>
        <row r="183">
          <cell r="I183">
            <v>1782</v>
          </cell>
        </row>
        <row r="184">
          <cell r="I184">
            <v>1782</v>
          </cell>
        </row>
        <row r="191">
          <cell r="I191">
            <v>104.39999999999999</v>
          </cell>
        </row>
        <row r="193">
          <cell r="I193">
            <v>315</v>
          </cell>
        </row>
        <row r="194">
          <cell r="I194">
            <v>340</v>
          </cell>
        </row>
        <row r="195">
          <cell r="I195">
            <v>368</v>
          </cell>
        </row>
        <row r="196">
          <cell r="I196">
            <v>421</v>
          </cell>
        </row>
        <row r="211">
          <cell r="I211">
            <v>263</v>
          </cell>
        </row>
        <row r="212">
          <cell r="I212">
            <v>275</v>
          </cell>
        </row>
        <row r="213">
          <cell r="I213">
            <v>338</v>
          </cell>
        </row>
        <row r="214">
          <cell r="I214">
            <v>357</v>
          </cell>
        </row>
        <row r="215">
          <cell r="I215">
            <v>118</v>
          </cell>
        </row>
        <row r="216">
          <cell r="I216">
            <v>131</v>
          </cell>
        </row>
        <row r="217">
          <cell r="I217">
            <v>144</v>
          </cell>
        </row>
        <row r="218">
          <cell r="I218">
            <v>158</v>
          </cell>
        </row>
        <row r="219">
          <cell r="I219">
            <v>273</v>
          </cell>
        </row>
        <row r="220">
          <cell r="I220">
            <v>560</v>
          </cell>
        </row>
      </sheetData>
      <sheetData sheetId="7">
        <row r="6">
          <cell r="I6">
            <v>4242</v>
          </cell>
        </row>
        <row r="7">
          <cell r="I7">
            <v>5395</v>
          </cell>
        </row>
        <row r="9">
          <cell r="I9">
            <v>4520</v>
          </cell>
        </row>
        <row r="10">
          <cell r="I10">
            <v>5792</v>
          </cell>
        </row>
        <row r="14">
          <cell r="I14">
            <v>4904</v>
          </cell>
        </row>
        <row r="15">
          <cell r="I15">
            <v>6195</v>
          </cell>
        </row>
        <row r="17">
          <cell r="I17">
            <v>5203</v>
          </cell>
        </row>
        <row r="18">
          <cell r="I18">
            <v>6610</v>
          </cell>
        </row>
        <row r="41">
          <cell r="I41">
            <v>3974</v>
          </cell>
        </row>
        <row r="42">
          <cell r="I42">
            <v>5049</v>
          </cell>
        </row>
        <row r="44">
          <cell r="I44">
            <v>4239</v>
          </cell>
        </row>
        <row r="45">
          <cell r="I45">
            <v>5433</v>
          </cell>
        </row>
        <row r="49">
          <cell r="I49">
            <v>4319</v>
          </cell>
        </row>
        <row r="50">
          <cell r="I50">
            <v>5493</v>
          </cell>
        </row>
        <row r="52">
          <cell r="I52">
            <v>4596</v>
          </cell>
        </row>
        <row r="53">
          <cell r="I53">
            <v>5890</v>
          </cell>
        </row>
        <row r="59">
          <cell r="I59">
            <v>4777</v>
          </cell>
        </row>
        <row r="60">
          <cell r="I60">
            <v>6258</v>
          </cell>
        </row>
        <row r="61">
          <cell r="I61">
            <v>7704</v>
          </cell>
        </row>
        <row r="63">
          <cell r="I63">
            <v>5492</v>
          </cell>
        </row>
        <row r="64">
          <cell r="I64">
            <v>7342</v>
          </cell>
        </row>
        <row r="65">
          <cell r="I65">
            <v>9131</v>
          </cell>
        </row>
        <row r="69">
          <cell r="I69">
            <v>4402</v>
          </cell>
        </row>
        <row r="70">
          <cell r="I70">
            <v>5883</v>
          </cell>
        </row>
        <row r="71">
          <cell r="I71">
            <v>7286</v>
          </cell>
        </row>
        <row r="73">
          <cell r="I73">
            <v>5076</v>
          </cell>
        </row>
        <row r="74">
          <cell r="I74">
            <v>6957</v>
          </cell>
        </row>
        <row r="75">
          <cell r="I75">
            <v>8706</v>
          </cell>
        </row>
        <row r="99">
          <cell r="I99">
            <v>6959</v>
          </cell>
        </row>
        <row r="100">
          <cell r="I100">
            <v>9640</v>
          </cell>
        </row>
        <row r="101">
          <cell r="I101">
            <v>12215</v>
          </cell>
        </row>
        <row r="103">
          <cell r="I103">
            <v>7863</v>
          </cell>
        </row>
        <row r="104">
          <cell r="I104">
            <v>11012</v>
          </cell>
        </row>
        <row r="105">
          <cell r="I105">
            <v>14048</v>
          </cell>
        </row>
        <row r="109">
          <cell r="I109">
            <v>6219</v>
          </cell>
        </row>
        <row r="110">
          <cell r="I110">
            <v>8744</v>
          </cell>
        </row>
        <row r="111">
          <cell r="I111">
            <v>11170</v>
          </cell>
        </row>
        <row r="113">
          <cell r="I113">
            <v>7107</v>
          </cell>
        </row>
        <row r="114">
          <cell r="I114">
            <v>10090</v>
          </cell>
        </row>
        <row r="115">
          <cell r="I115">
            <v>12972</v>
          </cell>
        </row>
        <row r="138">
          <cell r="I138">
            <v>6027</v>
          </cell>
        </row>
        <row r="139">
          <cell r="I139">
            <v>8173</v>
          </cell>
        </row>
        <row r="140">
          <cell r="I140">
            <v>10535</v>
          </cell>
        </row>
        <row r="142">
          <cell r="I142">
            <v>5651</v>
          </cell>
        </row>
        <row r="143">
          <cell r="I143">
            <v>7750</v>
          </cell>
        </row>
        <row r="144">
          <cell r="I144">
            <v>9986</v>
          </cell>
        </row>
        <row r="148">
          <cell r="I148">
            <v>6979</v>
          </cell>
        </row>
        <row r="149">
          <cell r="I149">
            <v>10077</v>
          </cell>
        </row>
        <row r="150">
          <cell r="I150">
            <v>13391</v>
          </cell>
        </row>
        <row r="152">
          <cell r="I152">
            <v>6603</v>
          </cell>
        </row>
        <row r="153">
          <cell r="I153">
            <v>9654</v>
          </cell>
        </row>
        <row r="154">
          <cell r="I154">
            <v>12842</v>
          </cell>
        </row>
        <row r="186">
          <cell r="I186">
            <v>5664</v>
          </cell>
        </row>
        <row r="187">
          <cell r="I187">
            <v>8189</v>
          </cell>
        </row>
        <row r="194">
          <cell r="I194">
            <v>7155</v>
          </cell>
        </row>
        <row r="195">
          <cell r="I195">
            <v>11365</v>
          </cell>
        </row>
        <row r="202">
          <cell r="I202">
            <v>7415</v>
          </cell>
        </row>
        <row r="203">
          <cell r="I203">
            <v>11252</v>
          </cell>
        </row>
        <row r="210">
          <cell r="I210">
            <v>8058</v>
          </cell>
        </row>
        <row r="211">
          <cell r="I211">
            <v>12207</v>
          </cell>
        </row>
        <row r="252">
          <cell r="I252">
            <v>5736</v>
          </cell>
        </row>
        <row r="414">
          <cell r="I414">
            <v>5254</v>
          </cell>
        </row>
        <row r="425">
          <cell r="I425">
            <v>11817</v>
          </cell>
        </row>
        <row r="446">
          <cell r="I446">
            <v>5746</v>
          </cell>
        </row>
        <row r="447">
          <cell r="I447">
            <v>6075</v>
          </cell>
        </row>
        <row r="448">
          <cell r="I448">
            <v>9211</v>
          </cell>
        </row>
        <row r="449">
          <cell r="I449">
            <v>9869</v>
          </cell>
        </row>
        <row r="450">
          <cell r="I450">
            <v>6389</v>
          </cell>
        </row>
        <row r="451">
          <cell r="I451">
            <v>7047</v>
          </cell>
        </row>
        <row r="452">
          <cell r="I452">
            <v>10498</v>
          </cell>
        </row>
        <row r="453">
          <cell r="I453">
            <v>11814</v>
          </cell>
        </row>
        <row r="457">
          <cell r="I457">
            <v>543</v>
          </cell>
        </row>
      </sheetData>
      <sheetData sheetId="8"/>
      <sheetData sheetId="9">
        <row r="5">
          <cell r="I5">
            <v>9305</v>
          </cell>
        </row>
        <row r="6">
          <cell r="I6">
            <v>12705</v>
          </cell>
        </row>
        <row r="7">
          <cell r="I7">
            <v>855</v>
          </cell>
        </row>
        <row r="8">
          <cell r="I8">
            <v>2081</v>
          </cell>
        </row>
        <row r="9">
          <cell r="I9">
            <v>2884</v>
          </cell>
        </row>
        <row r="10">
          <cell r="I10">
            <v>13525</v>
          </cell>
        </row>
        <row r="11">
          <cell r="I11">
            <v>16515</v>
          </cell>
        </row>
        <row r="12">
          <cell r="I12">
            <v>1736</v>
          </cell>
        </row>
        <row r="13">
          <cell r="I13">
            <v>2266</v>
          </cell>
        </row>
        <row r="14">
          <cell r="I14">
            <v>3377</v>
          </cell>
        </row>
        <row r="15">
          <cell r="I15">
            <v>21975</v>
          </cell>
        </row>
        <row r="16">
          <cell r="I16">
            <v>29955</v>
          </cell>
        </row>
        <row r="19">
          <cell r="I19">
            <v>5905</v>
          </cell>
        </row>
        <row r="20">
          <cell r="I20">
            <v>8685</v>
          </cell>
        </row>
        <row r="21">
          <cell r="I21">
            <v>10025</v>
          </cell>
        </row>
        <row r="22">
          <cell r="I22">
            <v>14715</v>
          </cell>
        </row>
        <row r="23">
          <cell r="I23">
            <v>18115</v>
          </cell>
        </row>
        <row r="24">
          <cell r="I24">
            <v>24805</v>
          </cell>
        </row>
        <row r="26">
          <cell r="I26">
            <v>135</v>
          </cell>
        </row>
        <row r="29">
          <cell r="I29">
            <v>14050</v>
          </cell>
        </row>
        <row r="30">
          <cell r="I30">
            <v>16100</v>
          </cell>
        </row>
        <row r="31">
          <cell r="I31">
            <v>14850</v>
          </cell>
        </row>
        <row r="32">
          <cell r="I32">
            <v>17550</v>
          </cell>
        </row>
        <row r="33">
          <cell r="I33">
            <v>19050</v>
          </cell>
        </row>
        <row r="34">
          <cell r="I34">
            <v>22100</v>
          </cell>
        </row>
        <row r="35">
          <cell r="I35">
            <v>415</v>
          </cell>
        </row>
        <row r="36">
          <cell r="I36">
            <v>1250</v>
          </cell>
        </row>
        <row r="40">
          <cell r="I40">
            <v>11229</v>
          </cell>
        </row>
        <row r="41">
          <cell r="I41">
            <v>14219</v>
          </cell>
        </row>
        <row r="42">
          <cell r="I42">
            <v>15919</v>
          </cell>
        </row>
        <row r="43">
          <cell r="I43">
            <v>19989</v>
          </cell>
        </row>
        <row r="44">
          <cell r="I44">
            <v>23699</v>
          </cell>
        </row>
        <row r="45">
          <cell r="I45">
            <v>33999</v>
          </cell>
        </row>
        <row r="48">
          <cell r="I48">
            <v>8089</v>
          </cell>
        </row>
        <row r="49">
          <cell r="I49">
            <v>10459</v>
          </cell>
        </row>
        <row r="50">
          <cell r="I50">
            <v>12419</v>
          </cell>
        </row>
        <row r="51">
          <cell r="I51">
            <v>17459</v>
          </cell>
        </row>
        <row r="52">
          <cell r="I52">
            <v>20189</v>
          </cell>
        </row>
        <row r="53">
          <cell r="I53">
            <v>28789</v>
          </cell>
        </row>
        <row r="55">
          <cell r="I55">
            <v>309</v>
          </cell>
        </row>
      </sheetData>
      <sheetData sheetId="10"/>
      <sheetData sheetId="11">
        <row r="5">
          <cell r="I5">
            <v>1595</v>
          </cell>
        </row>
        <row r="6">
          <cell r="I6">
            <v>2060</v>
          </cell>
        </row>
        <row r="7">
          <cell r="I7">
            <v>2165</v>
          </cell>
        </row>
        <row r="9">
          <cell r="I9">
            <v>1750</v>
          </cell>
        </row>
        <row r="10">
          <cell r="I10">
            <v>2215</v>
          </cell>
        </row>
        <row r="11">
          <cell r="I11">
            <v>2320</v>
          </cell>
        </row>
        <row r="13">
          <cell r="I13">
            <v>2800</v>
          </cell>
        </row>
        <row r="14">
          <cell r="I14">
            <v>3490</v>
          </cell>
        </row>
        <row r="15">
          <cell r="I15">
            <v>3700</v>
          </cell>
        </row>
        <row r="17">
          <cell r="I17">
            <v>3060</v>
          </cell>
        </row>
        <row r="18">
          <cell r="I18">
            <v>3750</v>
          </cell>
        </row>
        <row r="19">
          <cell r="I19">
            <v>3960</v>
          </cell>
        </row>
        <row r="21">
          <cell r="I21">
            <v>2895</v>
          </cell>
        </row>
        <row r="22">
          <cell r="I22">
            <v>3585</v>
          </cell>
        </row>
        <row r="23">
          <cell r="I23">
            <v>3795</v>
          </cell>
        </row>
        <row r="25">
          <cell r="I25">
            <v>3165</v>
          </cell>
        </row>
        <row r="26">
          <cell r="I26">
            <v>3985</v>
          </cell>
        </row>
        <row r="27">
          <cell r="I27">
            <v>4255</v>
          </cell>
        </row>
        <row r="29">
          <cell r="I29">
            <v>2075</v>
          </cell>
        </row>
        <row r="30">
          <cell r="I30">
            <v>2645</v>
          </cell>
        </row>
        <row r="31">
          <cell r="I31">
            <v>2875</v>
          </cell>
        </row>
        <row r="33">
          <cell r="I33">
            <v>2500</v>
          </cell>
        </row>
        <row r="34">
          <cell r="I34">
            <v>3190</v>
          </cell>
        </row>
        <row r="35">
          <cell r="I35">
            <v>3400</v>
          </cell>
        </row>
        <row r="37">
          <cell r="I37">
            <v>2650</v>
          </cell>
        </row>
        <row r="38">
          <cell r="I38">
            <v>3470</v>
          </cell>
        </row>
        <row r="39">
          <cell r="I39">
            <v>3740</v>
          </cell>
        </row>
        <row r="41">
          <cell r="I41">
            <v>4270</v>
          </cell>
        </row>
        <row r="42">
          <cell r="I42">
            <v>4960</v>
          </cell>
        </row>
        <row r="43">
          <cell r="I43">
            <v>5170</v>
          </cell>
        </row>
        <row r="45">
          <cell r="I45">
            <v>2395</v>
          </cell>
        </row>
        <row r="46">
          <cell r="I46">
            <v>2860</v>
          </cell>
        </row>
        <row r="47">
          <cell r="I47">
            <v>2965</v>
          </cell>
        </row>
        <row r="49">
          <cell r="I49">
            <v>2775</v>
          </cell>
        </row>
        <row r="50">
          <cell r="I50">
            <v>3240</v>
          </cell>
        </row>
        <row r="51">
          <cell r="I51">
            <v>3345</v>
          </cell>
        </row>
        <row r="53">
          <cell r="I53">
            <v>2910</v>
          </cell>
        </row>
        <row r="54">
          <cell r="I54">
            <v>3375</v>
          </cell>
        </row>
        <row r="55">
          <cell r="I55">
            <v>3480</v>
          </cell>
        </row>
        <row r="61">
          <cell r="I61">
            <v>1715</v>
          </cell>
        </row>
        <row r="62">
          <cell r="I62">
            <v>2180</v>
          </cell>
        </row>
        <row r="63">
          <cell r="I63">
            <v>2285</v>
          </cell>
        </row>
        <row r="65">
          <cell r="I65">
            <v>1870</v>
          </cell>
        </row>
        <row r="66">
          <cell r="I66">
            <v>2395</v>
          </cell>
        </row>
        <row r="67">
          <cell r="I67">
            <v>2530</v>
          </cell>
        </row>
        <row r="69">
          <cell r="I69">
            <v>4695</v>
          </cell>
        </row>
        <row r="70">
          <cell r="I70">
            <v>5385</v>
          </cell>
        </row>
        <row r="71">
          <cell r="I71">
            <v>5595</v>
          </cell>
        </row>
        <row r="72">
          <cell r="I72">
            <v>5285</v>
          </cell>
        </row>
        <row r="73">
          <cell r="I73">
            <v>6090</v>
          </cell>
        </row>
        <row r="74">
          <cell r="I74">
            <v>8730</v>
          </cell>
        </row>
        <row r="75">
          <cell r="I75">
            <v>5030</v>
          </cell>
        </row>
        <row r="76">
          <cell r="I76">
            <v>5355</v>
          </cell>
        </row>
        <row r="78">
          <cell r="I78">
            <v>8170</v>
          </cell>
        </row>
        <row r="79">
          <cell r="I79">
            <v>8410</v>
          </cell>
        </row>
        <row r="80">
          <cell r="I80">
            <v>9665</v>
          </cell>
        </row>
        <row r="81">
          <cell r="I81">
            <v>8805</v>
          </cell>
        </row>
        <row r="82">
          <cell r="I82">
            <v>9315</v>
          </cell>
        </row>
        <row r="83">
          <cell r="I83">
            <v>9515</v>
          </cell>
        </row>
        <row r="84">
          <cell r="I84">
            <v>10025</v>
          </cell>
        </row>
        <row r="85">
          <cell r="I85">
            <v>10745</v>
          </cell>
        </row>
        <row r="86">
          <cell r="I86">
            <v>12755</v>
          </cell>
        </row>
        <row r="87">
          <cell r="I87">
            <v>14140</v>
          </cell>
        </row>
        <row r="88">
          <cell r="I88">
            <v>15410</v>
          </cell>
        </row>
        <row r="89">
          <cell r="I89">
            <v>17505</v>
          </cell>
        </row>
        <row r="90">
          <cell r="I90">
            <v>210</v>
          </cell>
        </row>
        <row r="91">
          <cell r="I91">
            <v>250</v>
          </cell>
        </row>
        <row r="92">
          <cell r="I92">
            <v>335</v>
          </cell>
        </row>
        <row r="99">
          <cell r="I99">
            <v>950</v>
          </cell>
        </row>
        <row r="100">
          <cell r="I100">
            <v>1100</v>
          </cell>
        </row>
        <row r="105">
          <cell r="I105">
            <v>0</v>
          </cell>
        </row>
        <row r="106">
          <cell r="I106">
            <v>0</v>
          </cell>
        </row>
        <row r="107">
          <cell r="I107">
            <v>380</v>
          </cell>
        </row>
        <row r="108">
          <cell r="I108">
            <v>515</v>
          </cell>
        </row>
        <row r="109">
          <cell r="I109">
            <v>195</v>
          </cell>
        </row>
        <row r="110">
          <cell r="I110">
            <v>1075</v>
          </cell>
        </row>
        <row r="111">
          <cell r="I111">
            <v>590</v>
          </cell>
        </row>
        <row r="112">
          <cell r="I112">
            <v>580</v>
          </cell>
        </row>
        <row r="113">
          <cell r="I113">
            <v>600</v>
          </cell>
        </row>
        <row r="118">
          <cell r="I118">
            <v>3030</v>
          </cell>
        </row>
        <row r="119">
          <cell r="I119">
            <v>3495</v>
          </cell>
        </row>
        <row r="120">
          <cell r="I120">
            <v>3600</v>
          </cell>
        </row>
        <row r="121">
          <cell r="I121">
            <v>4330</v>
          </cell>
        </row>
        <row r="122">
          <cell r="I122">
            <v>7200</v>
          </cell>
        </row>
        <row r="123">
          <cell r="I123">
            <v>7665</v>
          </cell>
        </row>
        <row r="124">
          <cell r="I124">
            <v>7770</v>
          </cell>
        </row>
        <row r="125">
          <cell r="I125">
            <v>7050</v>
          </cell>
        </row>
        <row r="126">
          <cell r="I126">
            <v>7515</v>
          </cell>
        </row>
        <row r="127">
          <cell r="I127">
            <v>7620</v>
          </cell>
        </row>
        <row r="128">
          <cell r="I128">
            <v>5450</v>
          </cell>
        </row>
        <row r="129">
          <cell r="I129">
            <v>6140</v>
          </cell>
        </row>
        <row r="130">
          <cell r="I130">
            <v>6350</v>
          </cell>
        </row>
        <row r="131">
          <cell r="I131">
            <v>4955</v>
          </cell>
        </row>
        <row r="132">
          <cell r="I132">
            <v>5645</v>
          </cell>
        </row>
        <row r="133">
          <cell r="I133">
            <v>5855</v>
          </cell>
        </row>
        <row r="134">
          <cell r="I134">
            <v>6595</v>
          </cell>
        </row>
        <row r="135">
          <cell r="I135">
            <v>2610</v>
          </cell>
        </row>
        <row r="136">
          <cell r="I136">
            <v>3075</v>
          </cell>
        </row>
        <row r="137">
          <cell r="I137">
            <v>3180</v>
          </cell>
        </row>
        <row r="138">
          <cell r="I138">
            <v>3910</v>
          </cell>
        </row>
        <row r="139">
          <cell r="I139">
            <v>2990</v>
          </cell>
        </row>
        <row r="140">
          <cell r="I140">
            <v>3455</v>
          </cell>
        </row>
        <row r="141">
          <cell r="I141">
            <v>3560</v>
          </cell>
        </row>
        <row r="142">
          <cell r="I142">
            <v>4290</v>
          </cell>
        </row>
        <row r="143">
          <cell r="I143">
            <v>3125</v>
          </cell>
        </row>
        <row r="144">
          <cell r="I144">
            <v>3590</v>
          </cell>
        </row>
        <row r="145">
          <cell r="I145">
            <v>3695</v>
          </cell>
        </row>
        <row r="146">
          <cell r="I146">
            <v>4425</v>
          </cell>
        </row>
        <row r="147">
          <cell r="I147">
            <v>1865</v>
          </cell>
        </row>
        <row r="148">
          <cell r="I148">
            <v>2330</v>
          </cell>
        </row>
        <row r="149">
          <cell r="I149">
            <v>2435</v>
          </cell>
        </row>
        <row r="150">
          <cell r="I150">
            <v>3165</v>
          </cell>
        </row>
        <row r="151">
          <cell r="I151">
            <v>4355</v>
          </cell>
        </row>
        <row r="152">
          <cell r="I152">
            <v>6995</v>
          </cell>
        </row>
        <row r="153">
          <cell r="I153">
            <v>1345</v>
          </cell>
        </row>
        <row r="154">
          <cell r="I154">
            <v>1810</v>
          </cell>
        </row>
        <row r="155">
          <cell r="I155">
            <v>1915</v>
          </cell>
        </row>
        <row r="156">
          <cell r="I156">
            <v>455</v>
          </cell>
        </row>
        <row r="157">
          <cell r="I157">
            <v>3245</v>
          </cell>
        </row>
        <row r="158">
          <cell r="I158">
            <v>3970</v>
          </cell>
        </row>
        <row r="159">
          <cell r="I159">
            <v>6610</v>
          </cell>
        </row>
        <row r="160">
          <cell r="I160">
            <v>5825</v>
          </cell>
        </row>
        <row r="161">
          <cell r="I161">
            <v>6150</v>
          </cell>
        </row>
        <row r="162">
          <cell r="I162">
            <v>8265</v>
          </cell>
        </row>
        <row r="163">
          <cell r="I163">
            <v>8845</v>
          </cell>
        </row>
        <row r="164">
          <cell r="I164">
            <v>9625</v>
          </cell>
        </row>
        <row r="165">
          <cell r="I165">
            <v>7750</v>
          </cell>
        </row>
        <row r="166">
          <cell r="I166">
            <v>8260</v>
          </cell>
        </row>
        <row r="167">
          <cell r="I167">
            <v>8460</v>
          </cell>
        </row>
        <row r="168">
          <cell r="I168">
            <v>8970</v>
          </cell>
        </row>
        <row r="169">
          <cell r="I169">
            <v>9690</v>
          </cell>
        </row>
        <row r="170">
          <cell r="I170">
            <v>11700</v>
          </cell>
        </row>
        <row r="171">
          <cell r="I171">
            <v>13970</v>
          </cell>
        </row>
        <row r="172">
          <cell r="I172">
            <v>15240</v>
          </cell>
        </row>
        <row r="173">
          <cell r="I173">
            <v>17335</v>
          </cell>
        </row>
        <row r="183">
          <cell r="I183">
            <v>1440</v>
          </cell>
        </row>
        <row r="184">
          <cell r="I184">
            <v>1905</v>
          </cell>
        </row>
        <row r="185">
          <cell r="I185">
            <v>2010</v>
          </cell>
        </row>
        <row r="186">
          <cell r="I186">
            <v>2085</v>
          </cell>
        </row>
        <row r="187">
          <cell r="I187">
            <v>2645</v>
          </cell>
        </row>
        <row r="188">
          <cell r="I188">
            <v>2845</v>
          </cell>
        </row>
        <row r="189">
          <cell r="I189">
            <v>2195</v>
          </cell>
        </row>
        <row r="190">
          <cell r="I190">
            <v>2885</v>
          </cell>
        </row>
        <row r="191">
          <cell r="I191">
            <v>3095</v>
          </cell>
        </row>
        <row r="192">
          <cell r="I192">
            <v>440</v>
          </cell>
        </row>
        <row r="193">
          <cell r="I193">
            <v>615</v>
          </cell>
        </row>
        <row r="194">
          <cell r="I194">
            <v>500</v>
          </cell>
        </row>
        <row r="195">
          <cell r="I195">
            <v>665</v>
          </cell>
        </row>
        <row r="196">
          <cell r="I196">
            <v>530</v>
          </cell>
        </row>
        <row r="197">
          <cell r="I197">
            <v>1095</v>
          </cell>
        </row>
        <row r="198">
          <cell r="I198">
            <v>610</v>
          </cell>
        </row>
        <row r="199">
          <cell r="I199">
            <v>1075</v>
          </cell>
        </row>
        <row r="200">
          <cell r="I200">
            <v>1180</v>
          </cell>
        </row>
        <row r="201">
          <cell r="I201">
            <v>1910</v>
          </cell>
        </row>
        <row r="202">
          <cell r="I202">
            <v>725</v>
          </cell>
        </row>
        <row r="203">
          <cell r="I203">
            <v>1250</v>
          </cell>
        </row>
        <row r="204">
          <cell r="I204">
            <v>1385</v>
          </cell>
        </row>
        <row r="205">
          <cell r="I205">
            <v>2120</v>
          </cell>
        </row>
        <row r="206">
          <cell r="I206">
            <v>955</v>
          </cell>
        </row>
        <row r="207">
          <cell r="I207">
            <v>1645</v>
          </cell>
        </row>
        <row r="208">
          <cell r="I208">
            <v>1855</v>
          </cell>
        </row>
        <row r="209">
          <cell r="I209">
            <v>2595</v>
          </cell>
        </row>
        <row r="210">
          <cell r="I210">
            <v>1060</v>
          </cell>
        </row>
        <row r="211">
          <cell r="I211">
            <v>1880</v>
          </cell>
        </row>
        <row r="212">
          <cell r="I212">
            <v>2150</v>
          </cell>
        </row>
        <row r="213">
          <cell r="I213">
            <v>3190</v>
          </cell>
        </row>
        <row r="214">
          <cell r="I214">
            <v>1190</v>
          </cell>
        </row>
        <row r="215">
          <cell r="I215">
            <v>2145</v>
          </cell>
        </row>
        <row r="216">
          <cell r="I216">
            <v>2460</v>
          </cell>
        </row>
        <row r="217">
          <cell r="I217">
            <v>3515</v>
          </cell>
        </row>
        <row r="218">
          <cell r="I218">
            <v>1255</v>
          </cell>
        </row>
        <row r="219">
          <cell r="I219">
            <v>1780</v>
          </cell>
        </row>
        <row r="220">
          <cell r="I220">
            <v>1915</v>
          </cell>
        </row>
        <row r="221">
          <cell r="I221">
            <v>4870</v>
          </cell>
        </row>
        <row r="222">
          <cell r="I222">
            <v>5750</v>
          </cell>
        </row>
        <row r="223">
          <cell r="I223">
            <v>7010</v>
          </cell>
        </row>
        <row r="224">
          <cell r="I224">
            <v>8440</v>
          </cell>
        </row>
        <row r="226">
          <cell r="I226">
            <v>0</v>
          </cell>
        </row>
      </sheetData>
      <sheetData sheetId="12"/>
      <sheetData sheetId="13">
        <row r="2134">
          <cell r="F2134">
            <v>0.75</v>
          </cell>
        </row>
        <row r="2136">
          <cell r="F2136">
            <v>0.75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 ppe Rad"/>
      <sheetName val="Schéma ppe rad"/>
      <sheetName val="Cal ppe CTA"/>
      <sheetName val="Schéma ppe CTA"/>
    </sheetNames>
    <sheetDataSet>
      <sheetData sheetId="0">
        <row r="87">
          <cell r="F87">
            <v>0.23828656257825703</v>
          </cell>
        </row>
        <row r="88">
          <cell r="F88">
            <v>998.32269287109375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gistre"/>
      <sheetName val="PG"/>
      <sheetName val="Cal réseaux"/>
      <sheetName val="Table réseaux"/>
      <sheetName val="Expansion"/>
      <sheetName val="Pompe"/>
    </sheetNames>
    <sheetDataSet>
      <sheetData sheetId="0"/>
      <sheetData sheetId="1"/>
      <sheetData sheetId="2"/>
      <sheetData sheetId="3">
        <row r="4">
          <cell r="A4" t="str">
            <v>==============</v>
          </cell>
          <cell r="B4" t="str">
            <v>==============</v>
          </cell>
          <cell r="C4" t="str">
            <v>==============</v>
          </cell>
        </row>
        <row r="5">
          <cell r="A5" t="str">
            <v>Robinetterie</v>
          </cell>
          <cell r="B5" t="str">
            <v>standard</v>
          </cell>
        </row>
        <row r="6">
          <cell r="A6" t="str">
            <v>==============</v>
          </cell>
          <cell r="B6" t="str">
            <v>==============</v>
          </cell>
          <cell r="C6" t="str">
            <v>==============</v>
          </cell>
        </row>
        <row r="7">
          <cell r="A7">
            <v>12</v>
          </cell>
          <cell r="B7" t="str">
            <v>Robinet.</v>
          </cell>
          <cell r="C7" t="str">
            <v>DN12 - 3/8"</v>
          </cell>
          <cell r="E7">
            <v>9.5250000000000004</v>
          </cell>
          <cell r="F7" t="str">
            <v xml:space="preserve"> ---------------</v>
          </cell>
          <cell r="G7" t="str">
            <v xml:space="preserve"> -------------</v>
          </cell>
          <cell r="H7">
            <v>0.01</v>
          </cell>
        </row>
        <row r="8">
          <cell r="A8">
            <v>15</v>
          </cell>
          <cell r="B8" t="str">
            <v>Robinet.</v>
          </cell>
          <cell r="C8" t="str">
            <v>DN15 - 1/2"</v>
          </cell>
          <cell r="E8">
            <v>12.7</v>
          </cell>
          <cell r="F8" t="str">
            <v xml:space="preserve"> ---------------</v>
          </cell>
          <cell r="G8" t="str">
            <v xml:space="preserve"> -------------</v>
          </cell>
          <cell r="H8">
            <v>0.01</v>
          </cell>
        </row>
        <row r="9">
          <cell r="A9">
            <v>20</v>
          </cell>
          <cell r="B9" t="str">
            <v>Robinet.</v>
          </cell>
          <cell r="C9" t="str">
            <v>DN20 - 3/4"</v>
          </cell>
          <cell r="E9">
            <v>19.05</v>
          </cell>
          <cell r="F9" t="str">
            <v xml:space="preserve"> ---------------</v>
          </cell>
          <cell r="G9" t="str">
            <v xml:space="preserve"> -------------</v>
          </cell>
          <cell r="H9">
            <v>0.01</v>
          </cell>
        </row>
        <row r="10">
          <cell r="A10">
            <v>25</v>
          </cell>
          <cell r="B10" t="str">
            <v>Robinet.</v>
          </cell>
          <cell r="C10" t="str">
            <v>DN25 - 1"</v>
          </cell>
          <cell r="E10">
            <v>25.4</v>
          </cell>
          <cell r="F10" t="str">
            <v xml:space="preserve"> ---------------</v>
          </cell>
          <cell r="G10" t="str">
            <v xml:space="preserve"> -------------</v>
          </cell>
          <cell r="H10">
            <v>0.01</v>
          </cell>
        </row>
        <row r="11">
          <cell r="A11">
            <v>32</v>
          </cell>
          <cell r="B11" t="str">
            <v>Robinet.</v>
          </cell>
          <cell r="C11" t="str">
            <v>DN32 - 1 1/4"</v>
          </cell>
          <cell r="E11">
            <v>31.75</v>
          </cell>
          <cell r="F11" t="str">
            <v xml:space="preserve"> ---------------</v>
          </cell>
          <cell r="G11" t="str">
            <v xml:space="preserve"> -------------</v>
          </cell>
          <cell r="H11">
            <v>0.01</v>
          </cell>
        </row>
        <row r="12">
          <cell r="A12">
            <v>40</v>
          </cell>
          <cell r="B12" t="str">
            <v>Robinet.</v>
          </cell>
          <cell r="C12" t="str">
            <v>DN40 - 1.5"</v>
          </cell>
          <cell r="E12">
            <v>38.1</v>
          </cell>
          <cell r="F12" t="str">
            <v xml:space="preserve"> ---------------</v>
          </cell>
          <cell r="G12" t="str">
            <v xml:space="preserve"> -------------</v>
          </cell>
          <cell r="H12">
            <v>0.01</v>
          </cell>
        </row>
        <row r="13">
          <cell r="A13">
            <v>50</v>
          </cell>
          <cell r="B13" t="str">
            <v>Robinet.</v>
          </cell>
          <cell r="C13" t="str">
            <v>DN50 - 2"</v>
          </cell>
          <cell r="E13">
            <v>50.8</v>
          </cell>
          <cell r="F13" t="str">
            <v xml:space="preserve"> ---------------</v>
          </cell>
          <cell r="G13" t="str">
            <v xml:space="preserve"> -------------</v>
          </cell>
          <cell r="H13">
            <v>0.01</v>
          </cell>
        </row>
        <row r="14">
          <cell r="A14">
            <v>65</v>
          </cell>
          <cell r="B14" t="str">
            <v>Robinet.</v>
          </cell>
          <cell r="C14" t="str">
            <v>DN65 - 2.5"</v>
          </cell>
          <cell r="E14">
            <v>63.5</v>
          </cell>
          <cell r="F14" t="str">
            <v xml:space="preserve"> ---------------</v>
          </cell>
          <cell r="G14" t="str">
            <v xml:space="preserve"> -------------</v>
          </cell>
          <cell r="H14">
            <v>0.01</v>
          </cell>
        </row>
        <row r="15">
          <cell r="A15">
            <v>80</v>
          </cell>
          <cell r="B15" t="str">
            <v>Robinet.</v>
          </cell>
          <cell r="C15" t="str">
            <v>DN80 - 3"</v>
          </cell>
          <cell r="E15">
            <v>76.2</v>
          </cell>
          <cell r="F15" t="str">
            <v xml:space="preserve"> ---------------</v>
          </cell>
          <cell r="G15" t="str">
            <v xml:space="preserve"> -------------</v>
          </cell>
          <cell r="H15">
            <v>0.01</v>
          </cell>
        </row>
        <row r="16">
          <cell r="A16">
            <v>100</v>
          </cell>
          <cell r="B16" t="str">
            <v>Robinet.</v>
          </cell>
          <cell r="C16" t="str">
            <v>DN100 - 4"</v>
          </cell>
          <cell r="E16">
            <v>101.6</v>
          </cell>
          <cell r="F16" t="str">
            <v xml:space="preserve"> ---------------</v>
          </cell>
          <cell r="G16" t="str">
            <v xml:space="preserve"> -------------</v>
          </cell>
          <cell r="H16">
            <v>0.01</v>
          </cell>
        </row>
        <row r="17">
          <cell r="A17">
            <v>125</v>
          </cell>
          <cell r="B17" t="str">
            <v>Robinet.</v>
          </cell>
          <cell r="C17" t="str">
            <v>DN125 - 5"</v>
          </cell>
          <cell r="E17">
            <v>127</v>
          </cell>
          <cell r="F17" t="str">
            <v xml:space="preserve"> ---------------</v>
          </cell>
          <cell r="G17" t="str">
            <v xml:space="preserve"> -------------</v>
          </cell>
          <cell r="H17">
            <v>0.01</v>
          </cell>
        </row>
        <row r="18">
          <cell r="A18">
            <v>150</v>
          </cell>
          <cell r="B18" t="str">
            <v>Robinet.</v>
          </cell>
          <cell r="C18" t="str">
            <v>DN150 - 6"</v>
          </cell>
          <cell r="E18">
            <v>152.4</v>
          </cell>
          <cell r="F18" t="str">
            <v xml:space="preserve"> ---------------</v>
          </cell>
          <cell r="G18" t="str">
            <v xml:space="preserve"> -------------</v>
          </cell>
          <cell r="H18">
            <v>0.01</v>
          </cell>
        </row>
        <row r="19">
          <cell r="A19">
            <v>200</v>
          </cell>
          <cell r="B19" t="str">
            <v>Robinet.</v>
          </cell>
          <cell r="C19" t="str">
            <v>DN200 - 8"</v>
          </cell>
          <cell r="E19">
            <v>203.2</v>
          </cell>
          <cell r="F19" t="str">
            <v xml:space="preserve"> ---------------</v>
          </cell>
          <cell r="G19" t="str">
            <v xml:space="preserve"> -------------</v>
          </cell>
          <cell r="H19">
            <v>0.01</v>
          </cell>
        </row>
        <row r="20">
          <cell r="A20">
            <v>250</v>
          </cell>
          <cell r="B20" t="str">
            <v>Robinet.</v>
          </cell>
          <cell r="C20" t="str">
            <v>DN250 - 10"</v>
          </cell>
          <cell r="E20">
            <v>254</v>
          </cell>
          <cell r="F20" t="str">
            <v xml:space="preserve"> ---------------</v>
          </cell>
          <cell r="G20" t="str">
            <v xml:space="preserve"> -------------</v>
          </cell>
          <cell r="H20">
            <v>0.01</v>
          </cell>
        </row>
        <row r="21">
          <cell r="A21">
            <v>300</v>
          </cell>
          <cell r="B21" t="str">
            <v>Robinet.</v>
          </cell>
          <cell r="C21" t="str">
            <v>DN300 - 12"</v>
          </cell>
          <cell r="E21">
            <v>304.8</v>
          </cell>
          <cell r="F21" t="str">
            <v xml:space="preserve"> ---------------</v>
          </cell>
          <cell r="G21" t="str">
            <v xml:space="preserve"> -------------</v>
          </cell>
          <cell r="H21">
            <v>0.01</v>
          </cell>
        </row>
        <row r="22">
          <cell r="A22">
            <v>350</v>
          </cell>
          <cell r="B22" t="str">
            <v>Robinet.</v>
          </cell>
          <cell r="C22" t="str">
            <v>DN350 - 14"</v>
          </cell>
          <cell r="E22">
            <v>355.6</v>
          </cell>
          <cell r="F22" t="str">
            <v xml:space="preserve"> ---------------</v>
          </cell>
          <cell r="G22" t="str">
            <v xml:space="preserve"> -------------</v>
          </cell>
          <cell r="H22">
            <v>0.01</v>
          </cell>
        </row>
        <row r="23">
          <cell r="A23">
            <v>400</v>
          </cell>
          <cell r="B23" t="str">
            <v>Robinet.</v>
          </cell>
          <cell r="C23" t="str">
            <v>DN400 - 16"</v>
          </cell>
          <cell r="E23">
            <v>406.4</v>
          </cell>
          <cell r="F23" t="str">
            <v xml:space="preserve"> ---------------</v>
          </cell>
          <cell r="G23" t="str">
            <v xml:space="preserve"> -------------</v>
          </cell>
          <cell r="H23">
            <v>0.01</v>
          </cell>
        </row>
        <row r="25">
          <cell r="A25" t="str">
            <v>==============</v>
          </cell>
          <cell r="B25" t="str">
            <v>==============</v>
          </cell>
          <cell r="C25" t="str">
            <v>==============</v>
          </cell>
          <cell r="D25" t="str">
            <v>==============</v>
          </cell>
          <cell r="E25" t="str">
            <v>==============</v>
          </cell>
        </row>
        <row r="26">
          <cell r="A26" t="str">
            <v>Réseaux T1 &amp; T2</v>
          </cell>
          <cell r="B26" t="str">
            <v>Tube acier soudé</v>
          </cell>
          <cell r="C26" t="str">
            <v>Norme NFA 49145</v>
          </cell>
          <cell r="D26" t="str">
            <v>Pression</v>
          </cell>
          <cell r="E26" t="str">
            <v>10 &amp; 16</v>
          </cell>
          <cell r="F26" t="str">
            <v>bar</v>
          </cell>
        </row>
        <row r="27">
          <cell r="A27" t="str">
            <v>==============</v>
          </cell>
          <cell r="B27" t="str">
            <v>==============</v>
          </cell>
          <cell r="C27" t="str">
            <v>==============</v>
          </cell>
          <cell r="D27" t="str">
            <v>==============</v>
          </cell>
          <cell r="E27" t="str">
            <v>==============</v>
          </cell>
        </row>
        <row r="28">
          <cell r="A28" t="str">
            <v>12T</v>
          </cell>
          <cell r="B28" t="str">
            <v>acier T1</v>
          </cell>
          <cell r="C28" t="str">
            <v>12/17</v>
          </cell>
          <cell r="D28" t="str">
            <v>DN2 - 3/8"</v>
          </cell>
          <cell r="E28">
            <v>13.2</v>
          </cell>
          <cell r="F28" t="str">
            <v>2</v>
          </cell>
          <cell r="G28">
            <v>17.2</v>
          </cell>
          <cell r="H28">
            <v>0.06</v>
          </cell>
        </row>
        <row r="29">
          <cell r="A29" t="str">
            <v>15T</v>
          </cell>
          <cell r="B29" t="str">
            <v>acier T1</v>
          </cell>
          <cell r="C29" t="str">
            <v>15/21</v>
          </cell>
          <cell r="D29" t="str">
            <v>DN15 - 1/2"</v>
          </cell>
          <cell r="E29">
            <v>16.600000000000001</v>
          </cell>
          <cell r="F29" t="str">
            <v>2,35</v>
          </cell>
          <cell r="G29">
            <v>21.3</v>
          </cell>
          <cell r="H29">
            <v>0.06</v>
          </cell>
        </row>
        <row r="30">
          <cell r="A30" t="str">
            <v>20T</v>
          </cell>
          <cell r="B30" t="str">
            <v>acier T1</v>
          </cell>
          <cell r="C30" t="str">
            <v>20/27</v>
          </cell>
          <cell r="D30" t="str">
            <v>DN20 - 3/4"</v>
          </cell>
          <cell r="E30">
            <v>22.2</v>
          </cell>
          <cell r="F30" t="str">
            <v>2,35</v>
          </cell>
          <cell r="G30">
            <v>26.9</v>
          </cell>
          <cell r="H30">
            <v>0.06</v>
          </cell>
        </row>
        <row r="31">
          <cell r="A31" t="str">
            <v>25T</v>
          </cell>
          <cell r="B31" t="str">
            <v>acier T1</v>
          </cell>
          <cell r="C31" t="str">
            <v>26/34</v>
          </cell>
          <cell r="D31" t="str">
            <v>DN25 - 1"</v>
          </cell>
          <cell r="E31">
            <v>27.9</v>
          </cell>
          <cell r="F31" t="str">
            <v>2,9</v>
          </cell>
          <cell r="G31">
            <v>33.700000000000003</v>
          </cell>
          <cell r="H31">
            <v>0.06</v>
          </cell>
        </row>
        <row r="32">
          <cell r="A32" t="str">
            <v>32T</v>
          </cell>
          <cell r="B32" t="str">
            <v>acier T1</v>
          </cell>
          <cell r="C32" t="str">
            <v>33/42</v>
          </cell>
          <cell r="D32" t="str">
            <v>DN32 - 1 1/4"</v>
          </cell>
          <cell r="E32">
            <v>36.6</v>
          </cell>
          <cell r="F32" t="str">
            <v>2,9</v>
          </cell>
          <cell r="G32">
            <v>42.4</v>
          </cell>
          <cell r="H32">
            <v>0.06</v>
          </cell>
        </row>
        <row r="33">
          <cell r="A33" t="str">
            <v>40T</v>
          </cell>
          <cell r="B33" t="str">
            <v>acier T1</v>
          </cell>
          <cell r="C33" t="str">
            <v>40/49</v>
          </cell>
          <cell r="D33" t="str">
            <v>DN40 - 1.5"</v>
          </cell>
          <cell r="E33">
            <v>42.5</v>
          </cell>
          <cell r="F33" t="str">
            <v>3,25</v>
          </cell>
          <cell r="G33">
            <v>48.3</v>
          </cell>
          <cell r="H33">
            <v>0.06</v>
          </cell>
        </row>
        <row r="34">
          <cell r="A34" t="str">
            <v>50T</v>
          </cell>
          <cell r="B34" t="str">
            <v>acier T1</v>
          </cell>
          <cell r="C34" t="str">
            <v>50/60</v>
          </cell>
          <cell r="D34" t="str">
            <v>DN50 - 2"</v>
          </cell>
          <cell r="E34">
            <v>53.8</v>
          </cell>
          <cell r="F34" t="str">
            <v>3,25</v>
          </cell>
          <cell r="G34">
            <v>60.3</v>
          </cell>
          <cell r="H34">
            <v>0.06</v>
          </cell>
        </row>
        <row r="35">
          <cell r="A35" t="str">
            <v>65T</v>
          </cell>
          <cell r="B35" t="str">
            <v>acier T1</v>
          </cell>
          <cell r="C35" t="str">
            <v>66/76</v>
          </cell>
          <cell r="D35" t="str">
            <v>DN65 - 2.5"</v>
          </cell>
          <cell r="E35">
            <v>69.599999999999994</v>
          </cell>
          <cell r="F35" t="str">
            <v>3,25</v>
          </cell>
          <cell r="G35">
            <v>76.099999999999994</v>
          </cell>
          <cell r="H35">
            <v>0.06</v>
          </cell>
        </row>
        <row r="36">
          <cell r="A36" t="str">
            <v>80T</v>
          </cell>
          <cell r="B36" t="str">
            <v>acier T1</v>
          </cell>
          <cell r="C36" t="str">
            <v>80/90</v>
          </cell>
          <cell r="D36" t="str">
            <v>DN80 - 3"</v>
          </cell>
          <cell r="E36">
            <v>82.4</v>
          </cell>
          <cell r="F36" t="str">
            <v>3,25</v>
          </cell>
          <cell r="G36">
            <v>88.9</v>
          </cell>
          <cell r="H36">
            <v>0.06</v>
          </cell>
        </row>
        <row r="37">
          <cell r="A37" t="str">
            <v>100T</v>
          </cell>
          <cell r="B37" t="str">
            <v>acier T3</v>
          </cell>
          <cell r="C37" t="str">
            <v>107/114</v>
          </cell>
          <cell r="D37" t="str">
            <v>DN100 - 4"</v>
          </cell>
          <cell r="E37">
            <v>105.3</v>
          </cell>
          <cell r="F37" t="str">
            <v>4,5</v>
          </cell>
          <cell r="G37">
            <v>114.3</v>
          </cell>
          <cell r="H37">
            <v>0.06</v>
          </cell>
        </row>
        <row r="38">
          <cell r="A38" t="str">
            <v>125T</v>
          </cell>
          <cell r="B38" t="str">
            <v>acier T3</v>
          </cell>
          <cell r="C38" t="str">
            <v>139 / 7</v>
          </cell>
          <cell r="D38" t="str">
            <v>DN125 - 5"</v>
          </cell>
          <cell r="E38">
            <v>130.69999999999999</v>
          </cell>
          <cell r="F38" t="str">
            <v>4,5</v>
          </cell>
          <cell r="G38">
            <v>139.69999999999999</v>
          </cell>
          <cell r="H38">
            <v>0.06</v>
          </cell>
        </row>
        <row r="39">
          <cell r="A39" t="str">
            <v>150T</v>
          </cell>
          <cell r="B39" t="str">
            <v>acier T10</v>
          </cell>
          <cell r="C39" t="str">
            <v>168,3 / 4,5</v>
          </cell>
          <cell r="D39" t="str">
            <v>DN150 - 6"</v>
          </cell>
          <cell r="E39">
            <v>159.30000000000001</v>
          </cell>
          <cell r="F39" t="str">
            <v>4,5</v>
          </cell>
          <cell r="G39">
            <v>168.3</v>
          </cell>
          <cell r="H39">
            <v>4.4999999999999998E-2</v>
          </cell>
        </row>
        <row r="40">
          <cell r="A40" t="str">
            <v>200T</v>
          </cell>
          <cell r="B40" t="str">
            <v>acier T10</v>
          </cell>
          <cell r="C40" t="str">
            <v>219,1 / 6,3</v>
          </cell>
          <cell r="D40" t="str">
            <v>DN200 - 8"</v>
          </cell>
          <cell r="E40">
            <v>207.3</v>
          </cell>
          <cell r="F40" t="str">
            <v>5,9</v>
          </cell>
          <cell r="G40">
            <v>219.1</v>
          </cell>
          <cell r="H40">
            <v>4.4999999999999998E-2</v>
          </cell>
        </row>
        <row r="41">
          <cell r="A41" t="str">
            <v>250T</v>
          </cell>
          <cell r="B41" t="str">
            <v>acier T10</v>
          </cell>
          <cell r="C41" t="str">
            <v>273 / 6,3</v>
          </cell>
          <cell r="D41" t="str">
            <v>DN250 - 10"</v>
          </cell>
          <cell r="E41">
            <v>260.39999999999998</v>
          </cell>
          <cell r="F41" t="str">
            <v>6,3</v>
          </cell>
          <cell r="G41">
            <v>273</v>
          </cell>
          <cell r="H41">
            <v>4.4999999999999998E-2</v>
          </cell>
        </row>
        <row r="42">
          <cell r="A42" t="str">
            <v>300T</v>
          </cell>
          <cell r="B42" t="str">
            <v>acier T10</v>
          </cell>
          <cell r="C42" t="str">
            <v>323,9 / 7,1</v>
          </cell>
          <cell r="D42" t="str">
            <v>DN300 - 12"</v>
          </cell>
          <cell r="E42">
            <v>309.7</v>
          </cell>
          <cell r="F42" t="str">
            <v>7,1</v>
          </cell>
          <cell r="G42">
            <v>323.89999999999998</v>
          </cell>
          <cell r="H42">
            <v>4.4999999999999998E-2</v>
          </cell>
        </row>
        <row r="43">
          <cell r="A43" t="str">
            <v>350T</v>
          </cell>
          <cell r="B43" t="str">
            <v>acier T10</v>
          </cell>
          <cell r="C43" t="str">
            <v>368 / 8</v>
          </cell>
          <cell r="D43" t="str">
            <v>DN350 - 14"</v>
          </cell>
          <cell r="E43">
            <v>352</v>
          </cell>
          <cell r="F43" t="str">
            <v>8</v>
          </cell>
          <cell r="G43">
            <v>368</v>
          </cell>
          <cell r="H43">
            <v>4.4999999999999998E-2</v>
          </cell>
        </row>
        <row r="44">
          <cell r="A44" t="str">
            <v>400T</v>
          </cell>
          <cell r="B44" t="str">
            <v>acier T10</v>
          </cell>
          <cell r="C44" t="str">
            <v>419 / 10</v>
          </cell>
          <cell r="D44" t="str">
            <v>DN400 - 16"</v>
          </cell>
          <cell r="E44">
            <v>399</v>
          </cell>
          <cell r="F44" t="str">
            <v>10</v>
          </cell>
          <cell r="G44">
            <v>419</v>
          </cell>
          <cell r="H44">
            <v>4.4999999999999998E-2</v>
          </cell>
        </row>
        <row r="46">
          <cell r="A46" t="str">
            <v>Réseaux</v>
          </cell>
          <cell r="B46" t="str">
            <v>Acier Galva</v>
          </cell>
          <cell r="C46" t="str">
            <v>Basic</v>
          </cell>
          <cell r="D46" t="str">
            <v>Pression</v>
          </cell>
          <cell r="E46" t="str">
            <v>10 &amp; 16</v>
          </cell>
          <cell r="F46" t="str">
            <v>bar</v>
          </cell>
        </row>
        <row r="47">
          <cell r="A47" t="str">
            <v>12TG</v>
          </cell>
          <cell r="B47" t="str">
            <v>acier galva T1</v>
          </cell>
          <cell r="C47" t="str">
            <v>12/17</v>
          </cell>
          <cell r="D47" t="str">
            <v>DN12 - 3/8"</v>
          </cell>
          <cell r="E47">
            <v>13.2</v>
          </cell>
          <cell r="F47" t="str">
            <v>2</v>
          </cell>
          <cell r="G47">
            <v>17.2</v>
          </cell>
          <cell r="H47">
            <v>0.15</v>
          </cell>
        </row>
        <row r="48">
          <cell r="A48" t="str">
            <v>15TG</v>
          </cell>
          <cell r="B48" t="str">
            <v>acier galva T1</v>
          </cell>
          <cell r="C48" t="str">
            <v>15/21</v>
          </cell>
          <cell r="D48" t="str">
            <v>DN15 - 1/2"</v>
          </cell>
          <cell r="E48">
            <v>16.600000000000001</v>
          </cell>
          <cell r="F48" t="str">
            <v>2,35</v>
          </cell>
          <cell r="G48">
            <v>21.3</v>
          </cell>
          <cell r="H48">
            <v>0.15</v>
          </cell>
        </row>
        <row r="49">
          <cell r="A49" t="str">
            <v>20TG</v>
          </cell>
          <cell r="B49" t="str">
            <v>acier galva T1</v>
          </cell>
          <cell r="C49" t="str">
            <v>20/27</v>
          </cell>
          <cell r="D49" t="str">
            <v>DN20 - 3/4"</v>
          </cell>
          <cell r="E49">
            <v>22.2</v>
          </cell>
          <cell r="F49" t="str">
            <v>2,35</v>
          </cell>
          <cell r="G49">
            <v>26.9</v>
          </cell>
          <cell r="H49">
            <v>0.15</v>
          </cell>
        </row>
        <row r="50">
          <cell r="A50" t="str">
            <v>25TG</v>
          </cell>
          <cell r="B50" t="str">
            <v>acier galva T1</v>
          </cell>
          <cell r="C50" t="str">
            <v>26/34</v>
          </cell>
          <cell r="D50" t="str">
            <v>DN25 - 1"</v>
          </cell>
          <cell r="E50">
            <v>27.9</v>
          </cell>
          <cell r="F50" t="str">
            <v>2,9</v>
          </cell>
          <cell r="G50">
            <v>33.700000000000003</v>
          </cell>
          <cell r="H50">
            <v>0.15</v>
          </cell>
        </row>
        <row r="51">
          <cell r="A51" t="str">
            <v>32TG</v>
          </cell>
          <cell r="B51" t="str">
            <v>acier galva T1</v>
          </cell>
          <cell r="C51" t="str">
            <v>33/42</v>
          </cell>
          <cell r="D51" t="str">
            <v>DN32 - 1 1/4"</v>
          </cell>
          <cell r="E51">
            <v>36.6</v>
          </cell>
          <cell r="F51" t="str">
            <v>2,9</v>
          </cell>
          <cell r="G51">
            <v>42.4</v>
          </cell>
          <cell r="H51">
            <v>0.15</v>
          </cell>
        </row>
        <row r="52">
          <cell r="A52" t="str">
            <v>40TG</v>
          </cell>
          <cell r="B52" t="str">
            <v>acier galva T1</v>
          </cell>
          <cell r="C52" t="str">
            <v>40/49</v>
          </cell>
          <cell r="D52" t="str">
            <v>DN40 - 1.5"</v>
          </cell>
          <cell r="E52">
            <v>42.5</v>
          </cell>
          <cell r="F52" t="str">
            <v>3,25</v>
          </cell>
          <cell r="G52">
            <v>48.3</v>
          </cell>
          <cell r="H52">
            <v>0.15</v>
          </cell>
        </row>
        <row r="53">
          <cell r="A53" t="str">
            <v>50TG</v>
          </cell>
          <cell r="B53" t="str">
            <v>acier galva T1</v>
          </cell>
          <cell r="C53" t="str">
            <v>50/60</v>
          </cell>
          <cell r="D53" t="str">
            <v>DN50 - 2"</v>
          </cell>
          <cell r="E53">
            <v>53.8</v>
          </cell>
          <cell r="F53" t="str">
            <v>3,25</v>
          </cell>
          <cell r="G53">
            <v>60.3</v>
          </cell>
          <cell r="H53">
            <v>0.15</v>
          </cell>
        </row>
        <row r="54">
          <cell r="A54" t="str">
            <v>65TG</v>
          </cell>
          <cell r="B54" t="str">
            <v>acier galva T1</v>
          </cell>
          <cell r="C54" t="str">
            <v>66/76</v>
          </cell>
          <cell r="D54" t="str">
            <v>DN65 - 2.5"</v>
          </cell>
          <cell r="E54">
            <v>69.599999999999994</v>
          </cell>
          <cell r="F54" t="str">
            <v>3,25</v>
          </cell>
          <cell r="G54">
            <v>76.099999999999994</v>
          </cell>
          <cell r="H54">
            <v>0.15</v>
          </cell>
        </row>
        <row r="55">
          <cell r="A55" t="str">
            <v>80TG</v>
          </cell>
          <cell r="B55" t="str">
            <v>acier galva T1</v>
          </cell>
          <cell r="C55" t="str">
            <v>80/90</v>
          </cell>
          <cell r="D55" t="str">
            <v>DN80 - 3"</v>
          </cell>
          <cell r="E55">
            <v>82.4</v>
          </cell>
          <cell r="F55" t="str">
            <v>3,25</v>
          </cell>
          <cell r="G55">
            <v>88.9</v>
          </cell>
          <cell r="H55">
            <v>0.15</v>
          </cell>
        </row>
        <row r="56">
          <cell r="A56" t="str">
            <v>100TG</v>
          </cell>
          <cell r="B56" t="str">
            <v>acier galva T3</v>
          </cell>
          <cell r="C56" t="str">
            <v>107/114</v>
          </cell>
          <cell r="D56" t="str">
            <v>DN100 - 4"</v>
          </cell>
          <cell r="E56">
            <v>105.3</v>
          </cell>
          <cell r="F56" t="str">
            <v>4,5</v>
          </cell>
          <cell r="G56">
            <v>114.3</v>
          </cell>
          <cell r="H56">
            <v>0.15</v>
          </cell>
        </row>
        <row r="57">
          <cell r="A57" t="str">
            <v>125TG</v>
          </cell>
          <cell r="B57" t="str">
            <v>acier galva T3</v>
          </cell>
          <cell r="C57" t="str">
            <v>139 / 7</v>
          </cell>
          <cell r="D57" t="str">
            <v>DN125 - 5"</v>
          </cell>
          <cell r="E57">
            <v>130.69999999999999</v>
          </cell>
          <cell r="F57" t="str">
            <v>4,5</v>
          </cell>
          <cell r="G57">
            <v>139.69999999999999</v>
          </cell>
          <cell r="H57">
            <v>0.15</v>
          </cell>
        </row>
        <row r="58">
          <cell r="A58" t="str">
            <v>150TG</v>
          </cell>
          <cell r="B58" t="str">
            <v>acier galva T10</v>
          </cell>
          <cell r="C58" t="str">
            <v>168,3 / 4,5</v>
          </cell>
          <cell r="D58" t="str">
            <v>DN150 - 6"</v>
          </cell>
          <cell r="E58">
            <v>159.30000000000001</v>
          </cell>
          <cell r="F58" t="str">
            <v>4,5</v>
          </cell>
          <cell r="G58">
            <v>168.3</v>
          </cell>
          <cell r="H58">
            <v>0.15</v>
          </cell>
        </row>
        <row r="59">
          <cell r="A59" t="str">
            <v>200TG</v>
          </cell>
          <cell r="B59" t="str">
            <v>acier galva T10</v>
          </cell>
          <cell r="C59" t="str">
            <v>219,1 / 6,3</v>
          </cell>
          <cell r="D59" t="str">
            <v>DN200 - 8"</v>
          </cell>
          <cell r="E59">
            <v>207.3</v>
          </cell>
          <cell r="F59" t="str">
            <v>5,9</v>
          </cell>
          <cell r="G59">
            <v>219.1</v>
          </cell>
          <cell r="H59">
            <v>0.15</v>
          </cell>
        </row>
        <row r="60">
          <cell r="A60" t="str">
            <v>250TG</v>
          </cell>
          <cell r="B60" t="str">
            <v>acier galva T10</v>
          </cell>
          <cell r="C60" t="str">
            <v>273 / 6,3</v>
          </cell>
          <cell r="D60" t="str">
            <v>DN250 - 10"</v>
          </cell>
          <cell r="E60">
            <v>260.39999999999998</v>
          </cell>
          <cell r="F60" t="str">
            <v>6,3</v>
          </cell>
          <cell r="G60">
            <v>273</v>
          </cell>
          <cell r="H60">
            <v>0.15</v>
          </cell>
        </row>
        <row r="61">
          <cell r="A61" t="str">
            <v>300TG</v>
          </cell>
          <cell r="B61" t="str">
            <v>acier galva T10</v>
          </cell>
          <cell r="C61" t="str">
            <v>323,9 / 7,1</v>
          </cell>
          <cell r="D61" t="str">
            <v>DN300 - 12"</v>
          </cell>
          <cell r="E61">
            <v>309.7</v>
          </cell>
          <cell r="F61" t="str">
            <v>7,1</v>
          </cell>
          <cell r="G61">
            <v>323.89999999999998</v>
          </cell>
          <cell r="H61">
            <v>0.15</v>
          </cell>
        </row>
        <row r="63">
          <cell r="A63" t="str">
            <v>Réseaux T3</v>
          </cell>
          <cell r="B63" t="str">
            <v>Tube acier non soudé</v>
          </cell>
          <cell r="C63" t="str">
            <v>Norme NF A 49115</v>
          </cell>
          <cell r="D63" t="str">
            <v>Pression</v>
          </cell>
          <cell r="E63" t="str">
            <v>16 &amp; 25</v>
          </cell>
          <cell r="F63" t="str">
            <v>bar</v>
          </cell>
        </row>
        <row r="64">
          <cell r="A64" t="str">
            <v>12T3</v>
          </cell>
          <cell r="B64" t="str">
            <v>acier T3</v>
          </cell>
          <cell r="C64" t="str">
            <v>12/17</v>
          </cell>
          <cell r="D64" t="str">
            <v>DN12 - 3/8"</v>
          </cell>
          <cell r="E64">
            <v>12.5</v>
          </cell>
          <cell r="F64" t="str">
            <v>2,35</v>
          </cell>
          <cell r="G64">
            <v>17.2</v>
          </cell>
          <cell r="H64">
            <v>4.4999999999999998E-2</v>
          </cell>
        </row>
        <row r="65">
          <cell r="A65" t="str">
            <v>15T3</v>
          </cell>
          <cell r="B65" t="str">
            <v>acier T3</v>
          </cell>
          <cell r="C65" t="str">
            <v>15/21</v>
          </cell>
          <cell r="D65" t="str">
            <v>DN15 - 1/2"</v>
          </cell>
          <cell r="E65">
            <v>16</v>
          </cell>
          <cell r="F65" t="str">
            <v>2,65</v>
          </cell>
          <cell r="G65">
            <v>21.3</v>
          </cell>
          <cell r="H65">
            <v>4.4999999999999998E-2</v>
          </cell>
        </row>
        <row r="66">
          <cell r="A66" t="str">
            <v>20T3</v>
          </cell>
          <cell r="B66" t="str">
            <v>acier T3</v>
          </cell>
          <cell r="C66" t="str">
            <v>20/27</v>
          </cell>
          <cell r="D66" t="str">
            <v>DN20 - 3/4"</v>
          </cell>
          <cell r="E66">
            <v>21.6</v>
          </cell>
          <cell r="F66" t="str">
            <v>2,65</v>
          </cell>
          <cell r="G66">
            <v>26.9</v>
          </cell>
          <cell r="H66">
            <v>4.4999999999999998E-2</v>
          </cell>
        </row>
        <row r="67">
          <cell r="A67" t="str">
            <v>25T3</v>
          </cell>
          <cell r="B67" t="str">
            <v>acier T3</v>
          </cell>
          <cell r="C67" t="str">
            <v>26/34</v>
          </cell>
          <cell r="D67" t="str">
            <v>DN25 - 1"</v>
          </cell>
          <cell r="E67">
            <v>27.2</v>
          </cell>
          <cell r="F67" t="str">
            <v>3,25</v>
          </cell>
          <cell r="G67">
            <v>33.700000000000003</v>
          </cell>
          <cell r="H67">
            <v>4.4999999999999998E-2</v>
          </cell>
        </row>
        <row r="68">
          <cell r="A68" t="str">
            <v>32T3</v>
          </cell>
          <cell r="B68" t="str">
            <v>acier T3</v>
          </cell>
          <cell r="C68" t="str">
            <v>33/42</v>
          </cell>
          <cell r="D68" t="str">
            <v>DN32 - 1 1/4"</v>
          </cell>
          <cell r="E68">
            <v>35.9</v>
          </cell>
          <cell r="F68" t="str">
            <v>3,25</v>
          </cell>
          <cell r="G68">
            <v>42.4</v>
          </cell>
          <cell r="H68">
            <v>4.4999999999999998E-2</v>
          </cell>
        </row>
        <row r="69">
          <cell r="A69" t="str">
            <v>40T3</v>
          </cell>
          <cell r="B69" t="str">
            <v>acier T3</v>
          </cell>
          <cell r="C69" t="str">
            <v>40/49</v>
          </cell>
          <cell r="D69" t="str">
            <v>DN40 - 1.5"</v>
          </cell>
          <cell r="E69">
            <v>41.8</v>
          </cell>
          <cell r="F69" t="str">
            <v>3,25</v>
          </cell>
          <cell r="G69">
            <v>48.3</v>
          </cell>
          <cell r="H69">
            <v>4.4999999999999998E-2</v>
          </cell>
        </row>
        <row r="70">
          <cell r="A70" t="str">
            <v>50T3</v>
          </cell>
          <cell r="B70" t="str">
            <v>acier T3</v>
          </cell>
          <cell r="C70" t="str">
            <v>50/60</v>
          </cell>
          <cell r="D70" t="str">
            <v>DN50 - 2"</v>
          </cell>
          <cell r="E70">
            <v>53</v>
          </cell>
          <cell r="F70" t="str">
            <v>3,65</v>
          </cell>
          <cell r="G70">
            <v>60.3</v>
          </cell>
          <cell r="H70">
            <v>4.4999999999999998E-2</v>
          </cell>
        </row>
        <row r="71">
          <cell r="A71" t="str">
            <v>65T3</v>
          </cell>
          <cell r="B71" t="str">
            <v>acier T3</v>
          </cell>
          <cell r="C71" t="str">
            <v>66/76</v>
          </cell>
          <cell r="D71" t="str">
            <v>DN65 - 2.5"</v>
          </cell>
          <cell r="E71">
            <v>68.8</v>
          </cell>
          <cell r="F71" t="str">
            <v>3,65</v>
          </cell>
          <cell r="G71">
            <v>76.099999999999994</v>
          </cell>
          <cell r="H71">
            <v>4.4999999999999998E-2</v>
          </cell>
        </row>
        <row r="72">
          <cell r="A72" t="str">
            <v>80T3</v>
          </cell>
          <cell r="B72" t="str">
            <v>acier T3</v>
          </cell>
          <cell r="C72" t="str">
            <v>80/90</v>
          </cell>
          <cell r="D72" t="str">
            <v>DN80 - 3"</v>
          </cell>
          <cell r="E72">
            <v>80.8</v>
          </cell>
          <cell r="F72" t="str">
            <v>4,05</v>
          </cell>
          <cell r="G72">
            <v>88.9</v>
          </cell>
          <cell r="H72">
            <v>4.4999999999999998E-2</v>
          </cell>
        </row>
        <row r="73">
          <cell r="A73" t="str">
            <v>100T3</v>
          </cell>
          <cell r="B73" t="str">
            <v>acier T3</v>
          </cell>
          <cell r="C73" t="str">
            <v>107/114</v>
          </cell>
          <cell r="D73" t="str">
            <v>DN100 - 4"</v>
          </cell>
          <cell r="E73">
            <v>105.3</v>
          </cell>
          <cell r="F73" t="str">
            <v>4,5</v>
          </cell>
          <cell r="G73">
            <v>114.3</v>
          </cell>
          <cell r="H73">
            <v>4.4999999999999998E-2</v>
          </cell>
        </row>
        <row r="74">
          <cell r="A74" t="str">
            <v>125T3</v>
          </cell>
          <cell r="B74" t="str">
            <v>acier T3</v>
          </cell>
          <cell r="C74" t="str">
            <v>139,7 / 4</v>
          </cell>
          <cell r="D74" t="str">
            <v>DN125 - 5"</v>
          </cell>
          <cell r="E74">
            <v>130.69999999999999</v>
          </cell>
          <cell r="F74" t="str">
            <v>4,5</v>
          </cell>
          <cell r="G74">
            <v>139.69999999999999</v>
          </cell>
          <cell r="H74">
            <v>4.4999999999999998E-2</v>
          </cell>
        </row>
        <row r="75">
          <cell r="A75" t="str">
            <v>150T3</v>
          </cell>
          <cell r="B75" t="str">
            <v>acier T3</v>
          </cell>
          <cell r="C75" t="str">
            <v>165,1 / 4,5</v>
          </cell>
          <cell r="D75" t="str">
            <v>DN150 - 6"</v>
          </cell>
          <cell r="E75">
            <v>156.1</v>
          </cell>
          <cell r="F75" t="str">
            <v>4,5</v>
          </cell>
          <cell r="G75">
            <v>165.1</v>
          </cell>
          <cell r="H75">
            <v>4.4999999999999998E-2</v>
          </cell>
        </row>
        <row r="77">
          <cell r="A77" t="str">
            <v>Réseaux T10</v>
          </cell>
          <cell r="B77" t="str">
            <v>Tube acier non soudé</v>
          </cell>
          <cell r="C77" t="str">
            <v>Norme NFA 49112</v>
          </cell>
          <cell r="D77" t="str">
            <v xml:space="preserve">Pression </v>
          </cell>
          <cell r="E77" t="str">
            <v>36 bar</v>
          </cell>
        </row>
        <row r="78">
          <cell r="A78" t="str">
            <v>32T10</v>
          </cell>
          <cell r="B78" t="str">
            <v>acier T10</v>
          </cell>
          <cell r="C78" t="str">
            <v>33/42</v>
          </cell>
          <cell r="D78" t="str">
            <v>DN32 - 1 1/4"</v>
          </cell>
          <cell r="E78">
            <v>37.200000000000003</v>
          </cell>
          <cell r="F78" t="str">
            <v>2,6</v>
          </cell>
          <cell r="G78">
            <v>42.4</v>
          </cell>
          <cell r="H78">
            <v>4.4999999999999998E-2</v>
          </cell>
        </row>
        <row r="79">
          <cell r="A79" t="str">
            <v>40T10</v>
          </cell>
          <cell r="B79" t="str">
            <v>acier T10</v>
          </cell>
          <cell r="C79" t="str">
            <v>40/49</v>
          </cell>
          <cell r="D79" t="str">
            <v>DN40 - 1.5"</v>
          </cell>
          <cell r="E79">
            <v>43.1</v>
          </cell>
          <cell r="F79" t="str">
            <v>2,6</v>
          </cell>
          <cell r="G79">
            <v>48.3</v>
          </cell>
          <cell r="H79">
            <v>4.4999999999999998E-2</v>
          </cell>
        </row>
        <row r="80">
          <cell r="A80" t="str">
            <v>50T10</v>
          </cell>
          <cell r="B80" t="str">
            <v>acier T10</v>
          </cell>
          <cell r="C80" t="str">
            <v>50/60</v>
          </cell>
          <cell r="D80" t="str">
            <v>DN50 - 2"</v>
          </cell>
          <cell r="E80">
            <v>54.5</v>
          </cell>
          <cell r="F80" t="str">
            <v>2,9</v>
          </cell>
          <cell r="G80">
            <v>60.3</v>
          </cell>
          <cell r="H80">
            <v>4.4999999999999998E-2</v>
          </cell>
        </row>
        <row r="81">
          <cell r="A81" t="str">
            <v>65T10</v>
          </cell>
          <cell r="B81" t="str">
            <v>acier T10</v>
          </cell>
          <cell r="C81" t="str">
            <v>66/76</v>
          </cell>
          <cell r="D81" t="str">
            <v>DN65 - 2.5"</v>
          </cell>
          <cell r="E81">
            <v>70.3</v>
          </cell>
          <cell r="F81" t="str">
            <v>2,9</v>
          </cell>
          <cell r="G81">
            <v>76.099999999999994</v>
          </cell>
          <cell r="H81">
            <v>4.4999999999999998E-2</v>
          </cell>
        </row>
        <row r="82">
          <cell r="A82" t="str">
            <v>80T10</v>
          </cell>
          <cell r="B82" t="str">
            <v>acier T10</v>
          </cell>
          <cell r="C82" t="str">
            <v>80/90</v>
          </cell>
          <cell r="D82" t="str">
            <v>DN80 - 3"</v>
          </cell>
          <cell r="E82">
            <v>82.5</v>
          </cell>
          <cell r="F82" t="str">
            <v>3,2</v>
          </cell>
          <cell r="G82">
            <v>88.9</v>
          </cell>
          <cell r="H82">
            <v>4.4999999999999998E-2</v>
          </cell>
        </row>
        <row r="83">
          <cell r="A83" t="str">
            <v>90T10</v>
          </cell>
          <cell r="B83" t="str">
            <v>acier T10</v>
          </cell>
          <cell r="C83" t="str">
            <v>101.6/3.6</v>
          </cell>
          <cell r="D83">
            <v>3.5</v>
          </cell>
          <cell r="E83">
            <v>94.4</v>
          </cell>
          <cell r="F83" t="str">
            <v>3,6</v>
          </cell>
          <cell r="G83">
            <v>101.6</v>
          </cell>
          <cell r="H83">
            <v>4.4999999999999998E-2</v>
          </cell>
        </row>
        <row r="84">
          <cell r="A84" t="str">
            <v>95T10</v>
          </cell>
          <cell r="B84" t="str">
            <v>acier T10</v>
          </cell>
          <cell r="C84" t="str">
            <v>108/3.6</v>
          </cell>
          <cell r="D84" t="str">
            <v>---------</v>
          </cell>
          <cell r="E84">
            <v>100.8</v>
          </cell>
          <cell r="F84" t="str">
            <v>3,6</v>
          </cell>
          <cell r="G84">
            <v>108</v>
          </cell>
          <cell r="H84">
            <v>4.4999999999999998E-2</v>
          </cell>
        </row>
        <row r="85">
          <cell r="A85" t="str">
            <v>100T10</v>
          </cell>
          <cell r="B85" t="str">
            <v>acier T10</v>
          </cell>
          <cell r="C85" t="str">
            <v>107/114</v>
          </cell>
          <cell r="D85" t="str">
            <v>DN100 - 4"</v>
          </cell>
          <cell r="E85">
            <v>107.1</v>
          </cell>
          <cell r="F85" t="str">
            <v>3,6</v>
          </cell>
          <cell r="G85">
            <v>114.3</v>
          </cell>
          <cell r="H85">
            <v>4.4999999999999998E-2</v>
          </cell>
        </row>
        <row r="86">
          <cell r="A86" t="str">
            <v>110T10</v>
          </cell>
          <cell r="B86" t="str">
            <v>acier T10</v>
          </cell>
          <cell r="C86" t="str">
            <v>133/4</v>
          </cell>
          <cell r="D86">
            <v>4.5</v>
          </cell>
          <cell r="E86">
            <v>125</v>
          </cell>
          <cell r="F86" t="str">
            <v>4</v>
          </cell>
          <cell r="G86">
            <v>133</v>
          </cell>
          <cell r="H86">
            <v>4.4999999999999998E-2</v>
          </cell>
        </row>
        <row r="87">
          <cell r="A87" t="str">
            <v>125T10</v>
          </cell>
          <cell r="B87" t="str">
            <v>acier T10</v>
          </cell>
          <cell r="C87" t="str">
            <v>139 / 4</v>
          </cell>
          <cell r="D87" t="str">
            <v>DN125 - 5"</v>
          </cell>
          <cell r="E87">
            <v>131.69999999999999</v>
          </cell>
          <cell r="F87" t="str">
            <v>4</v>
          </cell>
          <cell r="G87">
            <v>139.69999999999999</v>
          </cell>
          <cell r="H87">
            <v>4.4999999999999998E-2</v>
          </cell>
        </row>
        <row r="88">
          <cell r="A88" t="str">
            <v>140T10</v>
          </cell>
          <cell r="B88" t="str">
            <v>acier T10</v>
          </cell>
          <cell r="C88" t="str">
            <v>159/4.5</v>
          </cell>
          <cell r="D88">
            <v>5.5</v>
          </cell>
          <cell r="E88">
            <v>150</v>
          </cell>
          <cell r="F88" t="str">
            <v>4,5</v>
          </cell>
          <cell r="G88">
            <v>159</v>
          </cell>
          <cell r="H88">
            <v>4.4999999999999998E-2</v>
          </cell>
        </row>
        <row r="89">
          <cell r="A89" t="str">
            <v>150T10</v>
          </cell>
          <cell r="B89" t="str">
            <v>acier T10</v>
          </cell>
          <cell r="C89" t="str">
            <v>168,3 / 4,5</v>
          </cell>
          <cell r="D89" t="str">
            <v>DN150 - 6"</v>
          </cell>
          <cell r="E89">
            <v>159.30000000000001</v>
          </cell>
          <cell r="F89" t="str">
            <v>4,5</v>
          </cell>
          <cell r="G89">
            <v>168.3</v>
          </cell>
          <cell r="H89">
            <v>4.4999999999999998E-2</v>
          </cell>
        </row>
        <row r="90">
          <cell r="A90" t="str">
            <v>175T10</v>
          </cell>
          <cell r="B90" t="str">
            <v>acier T10</v>
          </cell>
          <cell r="C90" t="str">
            <v>193.7/5.4</v>
          </cell>
          <cell r="D90">
            <v>7</v>
          </cell>
          <cell r="E90">
            <v>182.9</v>
          </cell>
          <cell r="F90" t="str">
            <v>5,4</v>
          </cell>
          <cell r="G90">
            <v>193.7</v>
          </cell>
          <cell r="H90">
            <v>4.4999999999999998E-2</v>
          </cell>
        </row>
        <row r="91">
          <cell r="A91" t="str">
            <v>200T10</v>
          </cell>
          <cell r="B91" t="str">
            <v>acier T10</v>
          </cell>
          <cell r="C91" t="str">
            <v>219,1 / 6,3</v>
          </cell>
          <cell r="D91" t="str">
            <v>DN200 - 8"</v>
          </cell>
          <cell r="E91">
            <v>207.3</v>
          </cell>
          <cell r="F91" t="str">
            <v>5,9</v>
          </cell>
          <cell r="G91">
            <v>219.1</v>
          </cell>
          <cell r="H91">
            <v>4.4999999999999998E-2</v>
          </cell>
        </row>
        <row r="92">
          <cell r="A92" t="str">
            <v>225T10</v>
          </cell>
          <cell r="B92" t="str">
            <v>acier T10</v>
          </cell>
          <cell r="C92" t="str">
            <v>244.5/6.3</v>
          </cell>
          <cell r="D92">
            <v>9</v>
          </cell>
          <cell r="E92">
            <v>231.9</v>
          </cell>
          <cell r="F92" t="str">
            <v>6,3</v>
          </cell>
          <cell r="G92">
            <v>244.5</v>
          </cell>
          <cell r="H92">
            <v>4.4999999999999998E-2</v>
          </cell>
        </row>
        <row r="93">
          <cell r="A93" t="str">
            <v>250T10</v>
          </cell>
          <cell r="B93" t="str">
            <v>acier T10</v>
          </cell>
          <cell r="C93" t="str">
            <v>273 / 6,3</v>
          </cell>
          <cell r="D93" t="str">
            <v>DN250 - 10"</v>
          </cell>
          <cell r="E93">
            <v>260.39999999999998</v>
          </cell>
          <cell r="F93" t="str">
            <v>6,3</v>
          </cell>
          <cell r="G93">
            <v>273</v>
          </cell>
          <cell r="H93">
            <v>4.4999999999999998E-2</v>
          </cell>
        </row>
        <row r="94">
          <cell r="A94" t="str">
            <v>300T10</v>
          </cell>
          <cell r="B94" t="str">
            <v>acier T10</v>
          </cell>
          <cell r="C94" t="str">
            <v>323,9 / 7,1</v>
          </cell>
          <cell r="D94" t="str">
            <v>DN300 - 12"</v>
          </cell>
          <cell r="E94">
            <v>309.7</v>
          </cell>
          <cell r="F94" t="str">
            <v>7,1</v>
          </cell>
          <cell r="G94">
            <v>323.89999999999998</v>
          </cell>
          <cell r="H94">
            <v>4.4999999999999998E-2</v>
          </cell>
        </row>
        <row r="95">
          <cell r="A95" t="str">
            <v>325T10</v>
          </cell>
          <cell r="B95" t="str">
            <v>acier T10</v>
          </cell>
          <cell r="C95" t="str">
            <v>355.6/8</v>
          </cell>
          <cell r="D95">
            <v>13</v>
          </cell>
          <cell r="E95">
            <v>339.6</v>
          </cell>
          <cell r="F95" t="str">
            <v>8</v>
          </cell>
          <cell r="G95">
            <v>355.6</v>
          </cell>
          <cell r="H95">
            <v>4.4999999999999998E-2</v>
          </cell>
        </row>
        <row r="96">
          <cell r="A96" t="str">
            <v>350T10</v>
          </cell>
          <cell r="B96" t="str">
            <v>acier T10</v>
          </cell>
          <cell r="C96" t="str">
            <v>368 / 8</v>
          </cell>
          <cell r="D96" t="str">
            <v>DN350 - 14"</v>
          </cell>
          <cell r="E96">
            <v>352</v>
          </cell>
          <cell r="F96" t="str">
            <v>8</v>
          </cell>
          <cell r="G96">
            <v>368</v>
          </cell>
          <cell r="H96">
            <v>4.4999999999999998E-2</v>
          </cell>
        </row>
        <row r="97">
          <cell r="A97" t="str">
            <v>375T10</v>
          </cell>
          <cell r="B97" t="str">
            <v>acier T10</v>
          </cell>
          <cell r="C97" t="str">
            <v>388.8/8.8</v>
          </cell>
          <cell r="D97">
            <v>15</v>
          </cell>
          <cell r="E97">
            <v>388.8</v>
          </cell>
          <cell r="F97" t="str">
            <v>8,8</v>
          </cell>
          <cell r="G97">
            <v>406.4</v>
          </cell>
          <cell r="H97">
            <v>4.4999999999999998E-2</v>
          </cell>
        </row>
        <row r="98">
          <cell r="A98" t="str">
            <v>400T10</v>
          </cell>
          <cell r="B98" t="str">
            <v>acier T10</v>
          </cell>
          <cell r="C98" t="str">
            <v>419 / 10</v>
          </cell>
          <cell r="D98" t="str">
            <v>DN400 - 16"</v>
          </cell>
          <cell r="E98">
            <v>399</v>
          </cell>
          <cell r="F98" t="str">
            <v>10</v>
          </cell>
          <cell r="G98">
            <v>419</v>
          </cell>
          <cell r="H98">
            <v>4.4999999999999998E-2</v>
          </cell>
        </row>
        <row r="101">
          <cell r="A101" t="str">
            <v>==============</v>
          </cell>
          <cell r="B101" t="str">
            <v>==============</v>
          </cell>
          <cell r="C101" t="str">
            <v>==============</v>
          </cell>
        </row>
        <row r="102">
          <cell r="A102" t="str">
            <v>Tube acier</v>
          </cell>
          <cell r="B102" t="str">
            <v>ANSI Standard</v>
          </cell>
          <cell r="C102" t="str">
            <v>au USA</v>
          </cell>
        </row>
        <row r="103">
          <cell r="A103" t="str">
            <v>==============</v>
          </cell>
          <cell r="B103" t="str">
            <v>==============</v>
          </cell>
          <cell r="C103" t="str">
            <v>==============</v>
          </cell>
        </row>
        <row r="104">
          <cell r="A104" t="str">
            <v>5S15</v>
          </cell>
          <cell r="B104" t="str">
            <v>acier 5S</v>
          </cell>
          <cell r="C104" t="str">
            <v>1/2"</v>
          </cell>
          <cell r="E104">
            <v>18</v>
          </cell>
          <cell r="F104">
            <v>1.65</v>
          </cell>
          <cell r="G104">
            <v>21.3</v>
          </cell>
          <cell r="H104">
            <v>4.4999999999999998E-2</v>
          </cell>
        </row>
        <row r="105">
          <cell r="A105" t="str">
            <v>5S20</v>
          </cell>
          <cell r="B105" t="str">
            <v>acier 5S</v>
          </cell>
          <cell r="C105" t="str">
            <v>3/4"</v>
          </cell>
          <cell r="E105">
            <v>23.4</v>
          </cell>
          <cell r="F105">
            <v>1.65</v>
          </cell>
          <cell r="G105">
            <v>26.7</v>
          </cell>
          <cell r="H105">
            <v>4.4999999999999998E-2</v>
          </cell>
        </row>
        <row r="106">
          <cell r="A106" t="str">
            <v>5S25</v>
          </cell>
          <cell r="B106" t="str">
            <v>acier 5S</v>
          </cell>
          <cell r="C106" t="str">
            <v>1"</v>
          </cell>
          <cell r="E106">
            <v>30.1</v>
          </cell>
          <cell r="F106">
            <v>1.65</v>
          </cell>
          <cell r="G106">
            <v>33.4</v>
          </cell>
          <cell r="H106">
            <v>4.4999999999999998E-2</v>
          </cell>
        </row>
        <row r="107">
          <cell r="A107" t="str">
            <v>5S32</v>
          </cell>
          <cell r="B107" t="str">
            <v>acier 5S</v>
          </cell>
          <cell r="C107" t="str">
            <v>1-1/4"</v>
          </cell>
          <cell r="E107">
            <v>38.9</v>
          </cell>
          <cell r="F107">
            <v>1.65</v>
          </cell>
          <cell r="G107">
            <v>42.2</v>
          </cell>
          <cell r="H107">
            <v>4.4999999999999998E-2</v>
          </cell>
        </row>
        <row r="108">
          <cell r="A108" t="str">
            <v>5S40</v>
          </cell>
          <cell r="B108" t="str">
            <v>acier 5S</v>
          </cell>
          <cell r="C108" t="str">
            <v>1-1/2"</v>
          </cell>
          <cell r="E108">
            <v>45</v>
          </cell>
          <cell r="F108">
            <v>1.65</v>
          </cell>
          <cell r="G108">
            <v>48.3</v>
          </cell>
          <cell r="H108">
            <v>4.4999999999999998E-2</v>
          </cell>
        </row>
        <row r="109">
          <cell r="A109" t="str">
            <v>5S50</v>
          </cell>
          <cell r="B109" t="str">
            <v>acier 5S</v>
          </cell>
          <cell r="C109" t="str">
            <v>2"</v>
          </cell>
          <cell r="E109">
            <v>57</v>
          </cell>
          <cell r="F109">
            <v>1.65</v>
          </cell>
          <cell r="G109">
            <v>60.3</v>
          </cell>
          <cell r="H109">
            <v>4.4999999999999998E-2</v>
          </cell>
        </row>
        <row r="110">
          <cell r="A110" t="str">
            <v>5S65</v>
          </cell>
          <cell r="B110" t="str">
            <v>acier 5S</v>
          </cell>
          <cell r="C110" t="str">
            <v>2-1/2"</v>
          </cell>
          <cell r="E110">
            <v>68.78</v>
          </cell>
          <cell r="F110">
            <v>2.11</v>
          </cell>
          <cell r="G110">
            <v>73</v>
          </cell>
          <cell r="H110">
            <v>4.4999999999999998E-2</v>
          </cell>
        </row>
        <row r="111">
          <cell r="A111" t="str">
            <v>5S80</v>
          </cell>
          <cell r="B111" t="str">
            <v>acier 5S</v>
          </cell>
          <cell r="C111" t="str">
            <v>3"</v>
          </cell>
          <cell r="E111">
            <v>84.68</v>
          </cell>
          <cell r="F111">
            <v>2.11</v>
          </cell>
          <cell r="G111">
            <v>88.9</v>
          </cell>
          <cell r="H111">
            <v>4.4999999999999998E-2</v>
          </cell>
        </row>
        <row r="112">
          <cell r="A112" t="str">
            <v>5S90</v>
          </cell>
          <cell r="B112" t="str">
            <v>acier 5S</v>
          </cell>
          <cell r="C112" t="str">
            <v>31/2"</v>
          </cell>
          <cell r="E112">
            <v>97.38</v>
          </cell>
          <cell r="F112">
            <v>2.11</v>
          </cell>
          <cell r="G112">
            <v>101.6</v>
          </cell>
          <cell r="H112">
            <v>4.4999999999999998E-2</v>
          </cell>
        </row>
        <row r="113">
          <cell r="A113" t="str">
            <v>5S100</v>
          </cell>
          <cell r="B113" t="str">
            <v>acier 5S</v>
          </cell>
          <cell r="C113" t="str">
            <v>4"</v>
          </cell>
          <cell r="E113">
            <v>110.08</v>
          </cell>
          <cell r="F113">
            <v>2.11</v>
          </cell>
          <cell r="G113">
            <v>114.3</v>
          </cell>
          <cell r="H113">
            <v>4.4999999999999998E-2</v>
          </cell>
        </row>
        <row r="114">
          <cell r="A114" t="str">
            <v>5S125</v>
          </cell>
          <cell r="B114" t="str">
            <v>acier 5S</v>
          </cell>
          <cell r="C114" t="str">
            <v>5"</v>
          </cell>
          <cell r="E114">
            <v>135.76</v>
          </cell>
          <cell r="F114">
            <v>2.77</v>
          </cell>
          <cell r="G114">
            <v>141.30000000000001</v>
          </cell>
          <cell r="H114">
            <v>4.4999999999999998E-2</v>
          </cell>
        </row>
        <row r="115">
          <cell r="A115" t="str">
            <v>5S150</v>
          </cell>
          <cell r="B115" t="str">
            <v>acier 5S</v>
          </cell>
          <cell r="C115" t="str">
            <v>6"</v>
          </cell>
          <cell r="E115">
            <v>162.76</v>
          </cell>
          <cell r="F115">
            <v>2.77</v>
          </cell>
          <cell r="G115">
            <v>168.3</v>
          </cell>
          <cell r="H115">
            <v>4.4999999999999998E-2</v>
          </cell>
        </row>
        <row r="116">
          <cell r="A116" t="str">
            <v>5S200</v>
          </cell>
          <cell r="B116" t="str">
            <v>acier 5S</v>
          </cell>
          <cell r="C116" t="str">
            <v>8"</v>
          </cell>
          <cell r="E116">
            <v>213.56</v>
          </cell>
          <cell r="F116">
            <v>2.77</v>
          </cell>
          <cell r="G116">
            <v>219.1</v>
          </cell>
          <cell r="H116">
            <v>4.4999999999999998E-2</v>
          </cell>
        </row>
        <row r="117">
          <cell r="A117" t="str">
            <v>5S250</v>
          </cell>
          <cell r="B117" t="str">
            <v>acier 5S</v>
          </cell>
          <cell r="C117" t="str">
            <v>10"</v>
          </cell>
          <cell r="E117">
            <v>266.3</v>
          </cell>
          <cell r="F117">
            <v>3.4</v>
          </cell>
          <cell r="G117">
            <v>273.10000000000002</v>
          </cell>
          <cell r="H117">
            <v>4.4999999999999998E-2</v>
          </cell>
        </row>
        <row r="118">
          <cell r="A118" t="str">
            <v>5S300</v>
          </cell>
          <cell r="B118" t="str">
            <v>acier 5S</v>
          </cell>
          <cell r="C118" t="str">
            <v>12"</v>
          </cell>
          <cell r="E118">
            <v>315.98</v>
          </cell>
          <cell r="F118">
            <v>3.96</v>
          </cell>
          <cell r="G118">
            <v>323.89999999999998</v>
          </cell>
          <cell r="H118">
            <v>4.4999999999999998E-2</v>
          </cell>
        </row>
        <row r="119">
          <cell r="A119" t="str">
            <v>5S350</v>
          </cell>
          <cell r="B119" t="str">
            <v>acier 5S</v>
          </cell>
          <cell r="C119" t="str">
            <v>14"</v>
          </cell>
          <cell r="E119">
            <v>347.68</v>
          </cell>
          <cell r="F119">
            <v>3.96</v>
          </cell>
          <cell r="G119">
            <v>355.6</v>
          </cell>
          <cell r="H119">
            <v>4.4999999999999998E-2</v>
          </cell>
        </row>
        <row r="120">
          <cell r="A120" t="str">
            <v>5S400</v>
          </cell>
          <cell r="B120" t="str">
            <v>acier 5S</v>
          </cell>
          <cell r="C120" t="str">
            <v>16"</v>
          </cell>
          <cell r="E120">
            <v>398.02</v>
          </cell>
          <cell r="F120">
            <v>4.1900000000000004</v>
          </cell>
          <cell r="G120">
            <v>406.4</v>
          </cell>
          <cell r="H120">
            <v>4.4999999999999998E-2</v>
          </cell>
        </row>
        <row r="121">
          <cell r="A121" t="str">
            <v>5S450</v>
          </cell>
          <cell r="B121" t="str">
            <v>acier 5S</v>
          </cell>
          <cell r="C121" t="str">
            <v>18"</v>
          </cell>
          <cell r="E121">
            <v>448.62</v>
          </cell>
          <cell r="F121">
            <v>4.1900000000000004</v>
          </cell>
          <cell r="G121">
            <v>457</v>
          </cell>
          <cell r="H121">
            <v>4.4999999999999998E-2</v>
          </cell>
        </row>
        <row r="122">
          <cell r="A122" t="str">
            <v>5S500</v>
          </cell>
          <cell r="B122" t="str">
            <v>acier 5S</v>
          </cell>
          <cell r="C122" t="str">
            <v>20"</v>
          </cell>
          <cell r="E122">
            <v>498.44</v>
          </cell>
          <cell r="F122">
            <v>4.78</v>
          </cell>
          <cell r="G122">
            <v>508</v>
          </cell>
          <cell r="H122">
            <v>4.4999999999999998E-2</v>
          </cell>
        </row>
        <row r="123">
          <cell r="A123" t="str">
            <v>5S550</v>
          </cell>
          <cell r="B123" t="str">
            <v>acier 5S</v>
          </cell>
          <cell r="C123" t="str">
            <v>22"</v>
          </cell>
          <cell r="E123">
            <v>549.44000000000005</v>
          </cell>
          <cell r="F123">
            <v>4.78</v>
          </cell>
          <cell r="G123">
            <v>559</v>
          </cell>
          <cell r="H123">
            <v>4.4999999999999998E-2</v>
          </cell>
        </row>
        <row r="124">
          <cell r="A124" t="str">
            <v>5S600</v>
          </cell>
          <cell r="B124" t="str">
            <v>acier 5S</v>
          </cell>
          <cell r="C124" t="str">
            <v>24"</v>
          </cell>
          <cell r="E124">
            <v>598.91999999999996</v>
          </cell>
          <cell r="F124">
            <v>5.54</v>
          </cell>
          <cell r="G124">
            <v>610</v>
          </cell>
          <cell r="H124">
            <v>4.4999999999999998E-2</v>
          </cell>
        </row>
        <row r="125">
          <cell r="A125" t="str">
            <v>5S750</v>
          </cell>
          <cell r="B125" t="str">
            <v>acier 5S</v>
          </cell>
          <cell r="C125" t="str">
            <v>30"</v>
          </cell>
          <cell r="E125">
            <v>749.3</v>
          </cell>
          <cell r="F125">
            <v>6.35</v>
          </cell>
          <cell r="G125">
            <v>762</v>
          </cell>
          <cell r="H125">
            <v>4.4999999999999998E-2</v>
          </cell>
        </row>
        <row r="127">
          <cell r="A127" t="str">
            <v>10S8</v>
          </cell>
          <cell r="B127" t="str">
            <v>acier 10S</v>
          </cell>
          <cell r="C127" t="str">
            <v>1/8"</v>
          </cell>
          <cell r="E127">
            <v>7.82</v>
          </cell>
          <cell r="F127">
            <v>1.24</v>
          </cell>
          <cell r="G127">
            <v>10.3</v>
          </cell>
          <cell r="H127">
            <v>4.4999999999999998E-2</v>
          </cell>
        </row>
        <row r="128">
          <cell r="A128" t="str">
            <v>10S10</v>
          </cell>
          <cell r="B128" t="str">
            <v>acier 10S</v>
          </cell>
          <cell r="C128" t="str">
            <v>1/4"</v>
          </cell>
          <cell r="E128">
            <v>10.4</v>
          </cell>
          <cell r="F128">
            <v>1.65</v>
          </cell>
          <cell r="G128">
            <v>13.7</v>
          </cell>
          <cell r="H128">
            <v>4.4999999999999998E-2</v>
          </cell>
        </row>
        <row r="129">
          <cell r="A129" t="str">
            <v>10S12</v>
          </cell>
          <cell r="B129" t="str">
            <v>acier 10S</v>
          </cell>
          <cell r="C129" t="str">
            <v>3/8"</v>
          </cell>
          <cell r="E129">
            <v>13.8</v>
          </cell>
          <cell r="F129">
            <v>1.65</v>
          </cell>
          <cell r="G129">
            <v>17.100000000000001</v>
          </cell>
          <cell r="H129">
            <v>4.4999999999999998E-2</v>
          </cell>
        </row>
        <row r="130">
          <cell r="A130" t="str">
            <v>10S15</v>
          </cell>
          <cell r="B130" t="str">
            <v>acier 10S</v>
          </cell>
          <cell r="C130" t="str">
            <v>1/2"</v>
          </cell>
          <cell r="E130">
            <v>17.079999999999998</v>
          </cell>
          <cell r="F130">
            <v>2.11</v>
          </cell>
          <cell r="G130">
            <v>21.3</v>
          </cell>
          <cell r="H130">
            <v>4.4999999999999998E-2</v>
          </cell>
        </row>
        <row r="131">
          <cell r="A131" t="str">
            <v>10S20</v>
          </cell>
          <cell r="B131" t="str">
            <v>acier 10S</v>
          </cell>
          <cell r="C131" t="str">
            <v>3/4"</v>
          </cell>
          <cell r="E131">
            <v>22.48</v>
          </cell>
          <cell r="F131">
            <v>2.11</v>
          </cell>
          <cell r="G131">
            <v>26.7</v>
          </cell>
          <cell r="H131">
            <v>4.4999999999999998E-2</v>
          </cell>
        </row>
        <row r="132">
          <cell r="A132" t="str">
            <v>10S25</v>
          </cell>
          <cell r="B132" t="str">
            <v>acier 10S</v>
          </cell>
          <cell r="C132" t="str">
            <v>1"</v>
          </cell>
          <cell r="E132">
            <v>27.86</v>
          </cell>
          <cell r="F132">
            <v>2.77</v>
          </cell>
          <cell r="G132">
            <v>33.4</v>
          </cell>
          <cell r="H132">
            <v>4.4999999999999998E-2</v>
          </cell>
        </row>
        <row r="133">
          <cell r="A133" t="str">
            <v>10S32</v>
          </cell>
          <cell r="B133" t="str">
            <v>acier 10S</v>
          </cell>
          <cell r="C133" t="str">
            <v>1-1/4"</v>
          </cell>
          <cell r="E133">
            <v>36.659999999999997</v>
          </cell>
          <cell r="F133">
            <v>2.77</v>
          </cell>
          <cell r="G133">
            <v>42.2</v>
          </cell>
          <cell r="H133">
            <v>4.4999999999999998E-2</v>
          </cell>
        </row>
        <row r="134">
          <cell r="A134" t="str">
            <v>10S40</v>
          </cell>
          <cell r="B134" t="str">
            <v>acier 10S</v>
          </cell>
          <cell r="C134" t="str">
            <v>1-1/2"</v>
          </cell>
          <cell r="E134">
            <v>42.76</v>
          </cell>
          <cell r="F134">
            <v>2.77</v>
          </cell>
          <cell r="G134">
            <v>48.3</v>
          </cell>
          <cell r="H134">
            <v>4.4999999999999998E-2</v>
          </cell>
        </row>
        <row r="135">
          <cell r="A135" t="str">
            <v>10S50</v>
          </cell>
          <cell r="B135" t="str">
            <v>acier 10S</v>
          </cell>
          <cell r="C135" t="str">
            <v>2"</v>
          </cell>
          <cell r="E135">
            <v>54.76</v>
          </cell>
          <cell r="F135">
            <v>2.77</v>
          </cell>
          <cell r="G135">
            <v>60.3</v>
          </cell>
          <cell r="H135">
            <v>4.4999999999999998E-2</v>
          </cell>
        </row>
        <row r="136">
          <cell r="A136" t="str">
            <v>10S65</v>
          </cell>
          <cell r="B136" t="str">
            <v>acier 10S</v>
          </cell>
          <cell r="C136" t="str">
            <v>2-1/2"</v>
          </cell>
          <cell r="E136">
            <v>66.900000000000006</v>
          </cell>
          <cell r="F136">
            <v>3.05</v>
          </cell>
          <cell r="G136">
            <v>73</v>
          </cell>
          <cell r="H136">
            <v>4.4999999999999998E-2</v>
          </cell>
        </row>
        <row r="137">
          <cell r="A137" t="str">
            <v>10S80</v>
          </cell>
          <cell r="B137" t="str">
            <v>acier 10S</v>
          </cell>
          <cell r="C137" t="str">
            <v>3"</v>
          </cell>
          <cell r="E137">
            <v>82.8</v>
          </cell>
          <cell r="F137">
            <v>3.05</v>
          </cell>
          <cell r="G137">
            <v>88.9</v>
          </cell>
          <cell r="H137">
            <v>4.4999999999999998E-2</v>
          </cell>
        </row>
        <row r="138">
          <cell r="A138" t="str">
            <v>10S90</v>
          </cell>
          <cell r="B138" t="str">
            <v>acier 10S</v>
          </cell>
          <cell r="C138" t="str">
            <v>31/2"</v>
          </cell>
          <cell r="E138">
            <v>95.5</v>
          </cell>
          <cell r="F138">
            <v>3.05</v>
          </cell>
          <cell r="G138">
            <v>101.6</v>
          </cell>
          <cell r="H138">
            <v>4.4999999999999998E-2</v>
          </cell>
        </row>
        <row r="139">
          <cell r="A139" t="str">
            <v>10S100</v>
          </cell>
          <cell r="B139" t="str">
            <v>acier 10S</v>
          </cell>
          <cell r="C139" t="str">
            <v>4"</v>
          </cell>
          <cell r="E139">
            <v>108.2</v>
          </cell>
          <cell r="F139">
            <v>3.05</v>
          </cell>
          <cell r="G139">
            <v>114.3</v>
          </cell>
          <cell r="H139">
            <v>4.4999999999999998E-2</v>
          </cell>
        </row>
        <row r="140">
          <cell r="A140" t="str">
            <v>10S125</v>
          </cell>
          <cell r="B140" t="str">
            <v>acier 10S</v>
          </cell>
          <cell r="C140" t="str">
            <v>5"</v>
          </cell>
          <cell r="E140">
            <v>134.5</v>
          </cell>
          <cell r="F140">
            <v>3.4</v>
          </cell>
          <cell r="G140">
            <v>141.30000000000001</v>
          </cell>
          <cell r="H140">
            <v>4.4999999999999998E-2</v>
          </cell>
        </row>
        <row r="141">
          <cell r="A141" t="str">
            <v>10S150</v>
          </cell>
          <cell r="B141" t="str">
            <v>acier 10S</v>
          </cell>
          <cell r="C141" t="str">
            <v>6"</v>
          </cell>
          <cell r="E141">
            <v>161.5</v>
          </cell>
          <cell r="F141">
            <v>3.4</v>
          </cell>
          <cell r="G141">
            <v>168.3</v>
          </cell>
          <cell r="H141">
            <v>4.4999999999999998E-2</v>
          </cell>
        </row>
        <row r="142">
          <cell r="A142" t="str">
            <v>10S200</v>
          </cell>
          <cell r="B142" t="str">
            <v>acier 10S</v>
          </cell>
          <cell r="C142" t="str">
            <v>8"</v>
          </cell>
          <cell r="E142">
            <v>211.58</v>
          </cell>
          <cell r="F142">
            <v>3.76</v>
          </cell>
          <cell r="G142">
            <v>219.1</v>
          </cell>
          <cell r="H142">
            <v>4.4999999999999998E-2</v>
          </cell>
        </row>
        <row r="143">
          <cell r="A143" t="str">
            <v>10S250</v>
          </cell>
          <cell r="B143" t="str">
            <v>acier 10S</v>
          </cell>
          <cell r="C143" t="str">
            <v>10"</v>
          </cell>
          <cell r="E143">
            <v>264.72000000000003</v>
          </cell>
          <cell r="F143">
            <v>4.1900000000000004</v>
          </cell>
          <cell r="G143">
            <v>273.10000000000002</v>
          </cell>
          <cell r="H143">
            <v>4.4999999999999998E-2</v>
          </cell>
        </row>
        <row r="144">
          <cell r="A144" t="str">
            <v>10S300</v>
          </cell>
          <cell r="B144" t="str">
            <v>acier 10S</v>
          </cell>
          <cell r="C144" t="str">
            <v>12"</v>
          </cell>
          <cell r="E144">
            <v>314.76</v>
          </cell>
          <cell r="F144">
            <v>4.57</v>
          </cell>
          <cell r="G144">
            <v>323.89999999999998</v>
          </cell>
          <cell r="H144">
            <v>4.4999999999999998E-2</v>
          </cell>
        </row>
        <row r="145">
          <cell r="A145" t="str">
            <v>10S350</v>
          </cell>
          <cell r="B145" t="str">
            <v>acier 10S</v>
          </cell>
          <cell r="C145" t="str">
            <v>14"</v>
          </cell>
          <cell r="E145">
            <v>346.04</v>
          </cell>
          <cell r="F145">
            <v>4.78</v>
          </cell>
          <cell r="G145">
            <v>355.6</v>
          </cell>
          <cell r="H145">
            <v>4.4999999999999998E-2</v>
          </cell>
        </row>
        <row r="146">
          <cell r="A146" t="str">
            <v>10S400</v>
          </cell>
          <cell r="B146" t="str">
            <v>acier 10S</v>
          </cell>
          <cell r="C146" t="str">
            <v>16"</v>
          </cell>
          <cell r="E146">
            <v>396.84</v>
          </cell>
          <cell r="F146">
            <v>4.78</v>
          </cell>
          <cell r="G146">
            <v>406.4</v>
          </cell>
          <cell r="H146">
            <v>4.4999999999999998E-2</v>
          </cell>
        </row>
        <row r="147">
          <cell r="A147" t="str">
            <v>10S450</v>
          </cell>
          <cell r="B147" t="str">
            <v>acier 10S</v>
          </cell>
          <cell r="C147" t="str">
            <v>18"</v>
          </cell>
          <cell r="E147">
            <v>447.44</v>
          </cell>
          <cell r="F147">
            <v>4.78</v>
          </cell>
          <cell r="G147">
            <v>457</v>
          </cell>
          <cell r="H147">
            <v>4.4999999999999998E-2</v>
          </cell>
        </row>
        <row r="148">
          <cell r="A148" t="str">
            <v>10S500</v>
          </cell>
          <cell r="B148" t="str">
            <v>acier 10S</v>
          </cell>
          <cell r="C148" t="str">
            <v>20"</v>
          </cell>
          <cell r="E148">
            <v>496.92</v>
          </cell>
          <cell r="F148">
            <v>5.54</v>
          </cell>
          <cell r="G148">
            <v>508</v>
          </cell>
          <cell r="H148">
            <v>4.4999999999999998E-2</v>
          </cell>
        </row>
        <row r="149">
          <cell r="A149" t="str">
            <v>10S550</v>
          </cell>
          <cell r="B149" t="str">
            <v>acier 10S</v>
          </cell>
          <cell r="C149" t="str">
            <v>22"</v>
          </cell>
          <cell r="E149">
            <v>547.91999999999996</v>
          </cell>
          <cell r="F149">
            <v>5.54</v>
          </cell>
          <cell r="G149">
            <v>559</v>
          </cell>
          <cell r="H149">
            <v>4.4999999999999998E-2</v>
          </cell>
        </row>
        <row r="150">
          <cell r="A150" t="str">
            <v>10S600</v>
          </cell>
          <cell r="B150" t="str">
            <v>acier 10S</v>
          </cell>
          <cell r="C150" t="str">
            <v>24"</v>
          </cell>
          <cell r="E150">
            <v>597.29999999999995</v>
          </cell>
          <cell r="F150">
            <v>6.35</v>
          </cell>
          <cell r="G150">
            <v>610</v>
          </cell>
          <cell r="H150">
            <v>4.4999999999999998E-2</v>
          </cell>
        </row>
        <row r="151">
          <cell r="A151" t="str">
            <v>10S750</v>
          </cell>
          <cell r="B151" t="str">
            <v>acier 10S</v>
          </cell>
          <cell r="C151" t="str">
            <v>30"</v>
          </cell>
          <cell r="E151">
            <v>746.16</v>
          </cell>
          <cell r="F151">
            <v>7.92</v>
          </cell>
          <cell r="G151">
            <v>762</v>
          </cell>
          <cell r="H151">
            <v>4.4999999999999998E-2</v>
          </cell>
        </row>
        <row r="153">
          <cell r="A153" t="str">
            <v>40S8</v>
          </cell>
          <cell r="B153" t="str">
            <v>acier 40S</v>
          </cell>
          <cell r="C153" t="str">
            <v>1/8"</v>
          </cell>
          <cell r="E153">
            <v>6.84</v>
          </cell>
          <cell r="F153">
            <v>1.73</v>
          </cell>
          <cell r="G153">
            <v>10.3</v>
          </cell>
          <cell r="H153">
            <v>4.4999999999999998E-2</v>
          </cell>
        </row>
        <row r="154">
          <cell r="A154" t="str">
            <v>40S10</v>
          </cell>
          <cell r="B154" t="str">
            <v>acier 40S</v>
          </cell>
          <cell r="C154" t="str">
            <v>1/4"</v>
          </cell>
          <cell r="E154">
            <v>9.2200000000000006</v>
          </cell>
          <cell r="F154">
            <v>2.2400000000000002</v>
          </cell>
          <cell r="G154">
            <v>13.7</v>
          </cell>
          <cell r="H154">
            <v>4.4999999999999998E-2</v>
          </cell>
        </row>
        <row r="155">
          <cell r="A155" t="str">
            <v>40S12</v>
          </cell>
          <cell r="B155" t="str">
            <v>acier 40S</v>
          </cell>
          <cell r="C155" t="str">
            <v>3/8"</v>
          </cell>
          <cell r="E155">
            <v>12.48</v>
          </cell>
          <cell r="F155">
            <v>2.31</v>
          </cell>
          <cell r="G155">
            <v>17.100000000000001</v>
          </cell>
          <cell r="H155">
            <v>4.4999999999999998E-2</v>
          </cell>
        </row>
        <row r="156">
          <cell r="A156" t="str">
            <v>40S15</v>
          </cell>
          <cell r="B156" t="str">
            <v>acier 40S</v>
          </cell>
          <cell r="C156" t="str">
            <v>1/2"</v>
          </cell>
          <cell r="E156">
            <v>15.76</v>
          </cell>
          <cell r="F156">
            <v>2.77</v>
          </cell>
          <cell r="G156">
            <v>21.3</v>
          </cell>
          <cell r="H156">
            <v>4.4999999999999998E-2</v>
          </cell>
        </row>
        <row r="157">
          <cell r="A157" t="str">
            <v>40S20</v>
          </cell>
          <cell r="B157" t="str">
            <v>acier 40S</v>
          </cell>
          <cell r="C157" t="str">
            <v>3/4"</v>
          </cell>
          <cell r="E157">
            <v>20.96</v>
          </cell>
          <cell r="F157">
            <v>2.87</v>
          </cell>
          <cell r="G157">
            <v>26.7</v>
          </cell>
          <cell r="H157">
            <v>4.4999999999999998E-2</v>
          </cell>
        </row>
        <row r="158">
          <cell r="A158" t="str">
            <v>40S25</v>
          </cell>
          <cell r="B158" t="str">
            <v>acier 40S</v>
          </cell>
          <cell r="C158" t="str">
            <v>1"</v>
          </cell>
          <cell r="E158">
            <v>26.64</v>
          </cell>
          <cell r="F158">
            <v>3.38</v>
          </cell>
          <cell r="G158">
            <v>33.4</v>
          </cell>
          <cell r="H158">
            <v>4.4999999999999998E-2</v>
          </cell>
        </row>
        <row r="159">
          <cell r="A159" t="str">
            <v>40S32</v>
          </cell>
          <cell r="B159" t="str">
            <v>acier 40S</v>
          </cell>
          <cell r="C159" t="str">
            <v>1-1/4"</v>
          </cell>
          <cell r="E159">
            <v>35.08</v>
          </cell>
          <cell r="F159">
            <v>3.56</v>
          </cell>
          <cell r="G159">
            <v>42.2</v>
          </cell>
          <cell r="H159">
            <v>4.4999999999999998E-2</v>
          </cell>
        </row>
        <row r="160">
          <cell r="A160" t="str">
            <v>40S40</v>
          </cell>
          <cell r="B160" t="str">
            <v>acier 40S</v>
          </cell>
          <cell r="C160" t="str">
            <v>1-1/2"</v>
          </cell>
          <cell r="E160">
            <v>40.94</v>
          </cell>
          <cell r="F160">
            <v>3.68</v>
          </cell>
          <cell r="G160">
            <v>48.3</v>
          </cell>
          <cell r="H160">
            <v>4.4999999999999998E-2</v>
          </cell>
        </row>
        <row r="161">
          <cell r="A161" t="str">
            <v>40S50</v>
          </cell>
          <cell r="B161" t="str">
            <v>acier 40S</v>
          </cell>
          <cell r="C161" t="str">
            <v>2"</v>
          </cell>
          <cell r="E161">
            <v>52.48</v>
          </cell>
          <cell r="F161">
            <v>3.91</v>
          </cell>
          <cell r="G161">
            <v>60.3</v>
          </cell>
          <cell r="H161">
            <v>4.4999999999999998E-2</v>
          </cell>
        </row>
        <row r="162">
          <cell r="A162" t="str">
            <v>40S65</v>
          </cell>
          <cell r="B162" t="str">
            <v>acier 40S</v>
          </cell>
          <cell r="C162" t="str">
            <v>2-1/2"</v>
          </cell>
          <cell r="E162">
            <v>62.68</v>
          </cell>
          <cell r="F162">
            <v>5.16</v>
          </cell>
          <cell r="G162">
            <v>73</v>
          </cell>
          <cell r="H162">
            <v>4.4999999999999998E-2</v>
          </cell>
        </row>
        <row r="163">
          <cell r="A163" t="str">
            <v>40S80</v>
          </cell>
          <cell r="B163" t="str">
            <v>acier 40S</v>
          </cell>
          <cell r="C163" t="str">
            <v>3"</v>
          </cell>
          <cell r="E163">
            <v>77.92</v>
          </cell>
          <cell r="F163">
            <v>5.49</v>
          </cell>
          <cell r="G163">
            <v>88.9</v>
          </cell>
          <cell r="H163">
            <v>4.4999999999999998E-2</v>
          </cell>
        </row>
        <row r="164">
          <cell r="A164" t="str">
            <v>40S90</v>
          </cell>
          <cell r="B164" t="str">
            <v>acier 40S</v>
          </cell>
          <cell r="C164" t="str">
            <v>31/2"</v>
          </cell>
          <cell r="E164">
            <v>90.12</v>
          </cell>
          <cell r="F164">
            <v>5.74</v>
          </cell>
          <cell r="G164">
            <v>101.6</v>
          </cell>
          <cell r="H164">
            <v>4.4999999999999998E-2</v>
          </cell>
        </row>
        <row r="165">
          <cell r="A165" t="str">
            <v>40S100</v>
          </cell>
          <cell r="B165" t="str">
            <v>acier 40S</v>
          </cell>
          <cell r="C165" t="str">
            <v>4"</v>
          </cell>
          <cell r="E165">
            <v>102.26</v>
          </cell>
          <cell r="F165">
            <v>6.02</v>
          </cell>
          <cell r="G165">
            <v>114.3</v>
          </cell>
          <cell r="H165">
            <v>4.4999999999999998E-2</v>
          </cell>
        </row>
        <row r="166">
          <cell r="A166" t="str">
            <v>40S125</v>
          </cell>
          <cell r="B166" t="str">
            <v>acier 40S</v>
          </cell>
          <cell r="C166" t="str">
            <v>5"</v>
          </cell>
          <cell r="E166">
            <v>128.19999999999999</v>
          </cell>
          <cell r="F166">
            <v>6.55</v>
          </cell>
          <cell r="G166">
            <v>141.30000000000001</v>
          </cell>
          <cell r="H166">
            <v>4.4999999999999998E-2</v>
          </cell>
        </row>
        <row r="167">
          <cell r="A167" t="str">
            <v>40S150</v>
          </cell>
          <cell r="B167" t="str">
            <v>acier 40S</v>
          </cell>
          <cell r="C167" t="str">
            <v>6"</v>
          </cell>
          <cell r="E167">
            <v>154.08000000000001</v>
          </cell>
          <cell r="F167">
            <v>7.11</v>
          </cell>
          <cell r="G167">
            <v>168.3</v>
          </cell>
          <cell r="H167">
            <v>4.4999999999999998E-2</v>
          </cell>
        </row>
        <row r="168">
          <cell r="A168" t="str">
            <v>40S200</v>
          </cell>
          <cell r="B168" t="str">
            <v>acier 40S</v>
          </cell>
          <cell r="C168" t="str">
            <v>8"</v>
          </cell>
          <cell r="E168">
            <v>202.74</v>
          </cell>
          <cell r="F168">
            <v>8.18</v>
          </cell>
          <cell r="G168">
            <v>219.1</v>
          </cell>
          <cell r="H168">
            <v>4.4999999999999998E-2</v>
          </cell>
        </row>
        <row r="169">
          <cell r="A169" t="str">
            <v>40S250</v>
          </cell>
          <cell r="B169" t="str">
            <v>acier 40S</v>
          </cell>
          <cell r="C169" t="str">
            <v>10"</v>
          </cell>
          <cell r="E169">
            <v>254.56</v>
          </cell>
          <cell r="F169">
            <v>9.27</v>
          </cell>
          <cell r="G169">
            <v>273.10000000000002</v>
          </cell>
          <cell r="H169">
            <v>4.4999999999999998E-2</v>
          </cell>
        </row>
        <row r="170">
          <cell r="A170" t="str">
            <v>40S300</v>
          </cell>
          <cell r="B170" t="str">
            <v>acier 40S</v>
          </cell>
          <cell r="C170" t="str">
            <v>12"</v>
          </cell>
          <cell r="E170">
            <v>303.072</v>
          </cell>
          <cell r="F170">
            <v>10.413999999999998</v>
          </cell>
          <cell r="G170">
            <v>323.89999999999998</v>
          </cell>
          <cell r="H170">
            <v>4.4999999999999998E-2</v>
          </cell>
        </row>
        <row r="171">
          <cell r="A171" t="str">
            <v>40S350</v>
          </cell>
          <cell r="B171" t="str">
            <v>acier 40S</v>
          </cell>
          <cell r="C171" t="str">
            <v>14"</v>
          </cell>
          <cell r="E171">
            <v>333.24800000000005</v>
          </cell>
          <cell r="F171">
            <v>11.176</v>
          </cell>
          <cell r="G171">
            <v>355.6</v>
          </cell>
          <cell r="H171">
            <v>4.4999999999999998E-2</v>
          </cell>
        </row>
        <row r="172">
          <cell r="A172" t="str">
            <v>40S400</v>
          </cell>
          <cell r="B172" t="str">
            <v>acier 40S</v>
          </cell>
          <cell r="C172" t="str">
            <v>16"</v>
          </cell>
          <cell r="E172">
            <v>381</v>
          </cell>
          <cell r="F172">
            <v>12.7</v>
          </cell>
          <cell r="G172">
            <v>406.4</v>
          </cell>
          <cell r="H172">
            <v>4.4999999999999998E-2</v>
          </cell>
        </row>
        <row r="173">
          <cell r="A173" t="str">
            <v>40S450</v>
          </cell>
          <cell r="B173" t="str">
            <v>acier 40S</v>
          </cell>
          <cell r="C173" t="str">
            <v>18"</v>
          </cell>
          <cell r="E173">
            <v>428.55200000000002</v>
          </cell>
          <cell r="F173">
            <v>14.224</v>
          </cell>
          <cell r="G173">
            <v>457</v>
          </cell>
          <cell r="H173">
            <v>4.4999999999999998E-2</v>
          </cell>
        </row>
        <row r="174">
          <cell r="A174" t="str">
            <v>40S500</v>
          </cell>
          <cell r="B174" t="str">
            <v>acier 40S</v>
          </cell>
          <cell r="C174" t="str">
            <v>20"</v>
          </cell>
          <cell r="E174">
            <v>478.02800000000002</v>
          </cell>
          <cell r="F174">
            <v>14.985999999999999</v>
          </cell>
          <cell r="G174">
            <v>508</v>
          </cell>
          <cell r="H174">
            <v>4.4999999999999998E-2</v>
          </cell>
        </row>
        <row r="175">
          <cell r="A175" t="str">
            <v>40S600</v>
          </cell>
          <cell r="B175" t="str">
            <v>acier 40S</v>
          </cell>
          <cell r="C175" t="str">
            <v>24"</v>
          </cell>
          <cell r="E175">
            <v>574.94799999999998</v>
          </cell>
          <cell r="F175">
            <v>17.525999999999996</v>
          </cell>
          <cell r="G175">
            <v>610</v>
          </cell>
          <cell r="H175">
            <v>4.4999999999999998E-2</v>
          </cell>
        </row>
        <row r="177">
          <cell r="A177" t="str">
            <v>80S8</v>
          </cell>
          <cell r="B177" t="str">
            <v>acier 80S</v>
          </cell>
          <cell r="C177" t="str">
            <v>1/8"</v>
          </cell>
          <cell r="E177">
            <v>5.48</v>
          </cell>
          <cell r="F177">
            <v>2.41</v>
          </cell>
          <cell r="G177">
            <v>10.3</v>
          </cell>
          <cell r="H177">
            <v>4.4999999999999998E-2</v>
          </cell>
        </row>
        <row r="178">
          <cell r="A178" t="str">
            <v>80S10</v>
          </cell>
          <cell r="B178" t="str">
            <v>acier 80S</v>
          </cell>
          <cell r="C178" t="str">
            <v>1/4"</v>
          </cell>
          <cell r="E178">
            <v>7.66</v>
          </cell>
          <cell r="F178">
            <v>3.02</v>
          </cell>
          <cell r="G178">
            <v>13.7</v>
          </cell>
          <cell r="H178">
            <v>4.4999999999999998E-2</v>
          </cell>
        </row>
        <row r="179">
          <cell r="A179" t="str">
            <v>80S12</v>
          </cell>
          <cell r="B179" t="str">
            <v>acier 80S</v>
          </cell>
          <cell r="C179" t="str">
            <v>3/8"</v>
          </cell>
          <cell r="E179">
            <v>10.7</v>
          </cell>
          <cell r="F179">
            <v>3.2</v>
          </cell>
          <cell r="G179">
            <v>17.100000000000001</v>
          </cell>
          <cell r="H179">
            <v>4.4999999999999998E-2</v>
          </cell>
        </row>
        <row r="180">
          <cell r="A180" t="str">
            <v>80S15</v>
          </cell>
          <cell r="B180" t="str">
            <v>acier 80S</v>
          </cell>
          <cell r="C180" t="str">
            <v>1/2"</v>
          </cell>
          <cell r="E180">
            <v>13.84</v>
          </cell>
          <cell r="F180">
            <v>3.73</v>
          </cell>
          <cell r="G180">
            <v>21.3</v>
          </cell>
          <cell r="H180">
            <v>4.4999999999999998E-2</v>
          </cell>
        </row>
        <row r="181">
          <cell r="A181" t="str">
            <v>80S20</v>
          </cell>
          <cell r="B181" t="str">
            <v>acier 80S</v>
          </cell>
          <cell r="C181" t="str">
            <v>3/4"</v>
          </cell>
          <cell r="E181">
            <v>18.88</v>
          </cell>
          <cell r="F181">
            <v>3.91</v>
          </cell>
          <cell r="G181">
            <v>26.7</v>
          </cell>
          <cell r="H181">
            <v>4.4999999999999998E-2</v>
          </cell>
        </row>
        <row r="182">
          <cell r="A182" t="str">
            <v>80S25</v>
          </cell>
          <cell r="B182" t="str">
            <v>acier 80S</v>
          </cell>
          <cell r="C182" t="str">
            <v>1"</v>
          </cell>
          <cell r="E182">
            <v>24.3</v>
          </cell>
          <cell r="F182">
            <v>4.55</v>
          </cell>
          <cell r="G182">
            <v>33.4</v>
          </cell>
          <cell r="H182">
            <v>4.4999999999999998E-2</v>
          </cell>
        </row>
        <row r="183">
          <cell r="A183" t="str">
            <v>80S32</v>
          </cell>
          <cell r="B183" t="str">
            <v>acier 80S</v>
          </cell>
          <cell r="C183" t="str">
            <v>1-1/4"</v>
          </cell>
          <cell r="E183">
            <v>32.5</v>
          </cell>
          <cell r="F183">
            <v>4.8499999999999996</v>
          </cell>
          <cell r="G183">
            <v>42.2</v>
          </cell>
          <cell r="H183">
            <v>4.4999999999999998E-2</v>
          </cell>
        </row>
        <row r="184">
          <cell r="A184" t="str">
            <v>80S40</v>
          </cell>
          <cell r="B184" t="str">
            <v>acier 80S</v>
          </cell>
          <cell r="C184" t="str">
            <v>1-1/2"</v>
          </cell>
          <cell r="E184">
            <v>38.14</v>
          </cell>
          <cell r="F184">
            <v>5.08</v>
          </cell>
          <cell r="G184">
            <v>48.3</v>
          </cell>
          <cell r="H184">
            <v>4.4999999999999998E-2</v>
          </cell>
        </row>
        <row r="185">
          <cell r="A185" t="str">
            <v>80S50</v>
          </cell>
          <cell r="B185" t="str">
            <v>acier 80S</v>
          </cell>
          <cell r="C185" t="str">
            <v>2"</v>
          </cell>
          <cell r="E185">
            <v>49.22</v>
          </cell>
          <cell r="F185">
            <v>5.54</v>
          </cell>
          <cell r="G185">
            <v>60.3</v>
          </cell>
          <cell r="H185">
            <v>4.4999999999999998E-2</v>
          </cell>
        </row>
        <row r="186">
          <cell r="A186" t="str">
            <v>80S65</v>
          </cell>
          <cell r="B186" t="str">
            <v>acier 80S</v>
          </cell>
          <cell r="C186" t="str">
            <v>2-1/2"</v>
          </cell>
          <cell r="E186">
            <v>58.98</v>
          </cell>
          <cell r="F186">
            <v>7.01</v>
          </cell>
          <cell r="G186">
            <v>73</v>
          </cell>
          <cell r="H186">
            <v>4.4999999999999998E-2</v>
          </cell>
        </row>
        <row r="187">
          <cell r="A187" t="str">
            <v>80S80</v>
          </cell>
          <cell r="B187" t="str">
            <v>acier 80S</v>
          </cell>
          <cell r="C187" t="str">
            <v>3"</v>
          </cell>
          <cell r="E187">
            <v>73.66</v>
          </cell>
          <cell r="F187">
            <v>7.62</v>
          </cell>
          <cell r="G187">
            <v>88.9</v>
          </cell>
          <cell r="H187">
            <v>4.4999999999999998E-2</v>
          </cell>
        </row>
        <row r="188">
          <cell r="A188" t="str">
            <v>80S90</v>
          </cell>
          <cell r="B188" t="str">
            <v>acier 80S</v>
          </cell>
          <cell r="C188" t="str">
            <v>31/2"</v>
          </cell>
          <cell r="E188">
            <v>85.44</v>
          </cell>
          <cell r="F188">
            <v>8.08</v>
          </cell>
          <cell r="G188">
            <v>101.6</v>
          </cell>
          <cell r="H188">
            <v>4.4999999999999998E-2</v>
          </cell>
        </row>
        <row r="189">
          <cell r="A189" t="str">
            <v>80S100</v>
          </cell>
          <cell r="B189" t="str">
            <v>acier 80S</v>
          </cell>
          <cell r="C189" t="str">
            <v>4"</v>
          </cell>
          <cell r="E189">
            <v>97.18</v>
          </cell>
          <cell r="F189">
            <v>8.56</v>
          </cell>
          <cell r="G189">
            <v>114.3</v>
          </cell>
          <cell r="H189">
            <v>4.4999999999999998E-2</v>
          </cell>
        </row>
        <row r="190">
          <cell r="A190" t="str">
            <v>80S125</v>
          </cell>
          <cell r="B190" t="str">
            <v>acier 80S</v>
          </cell>
          <cell r="C190" t="str">
            <v>5"</v>
          </cell>
          <cell r="E190">
            <v>122.24</v>
          </cell>
          <cell r="F190">
            <v>9.5299999999999994</v>
          </cell>
          <cell r="G190">
            <v>141.30000000000001</v>
          </cell>
          <cell r="H190">
            <v>4.4999999999999998E-2</v>
          </cell>
        </row>
        <row r="191">
          <cell r="A191" t="str">
            <v>80S150</v>
          </cell>
          <cell r="B191" t="str">
            <v>acier 80S</v>
          </cell>
          <cell r="C191" t="str">
            <v>6"</v>
          </cell>
          <cell r="E191">
            <v>146.36000000000001</v>
          </cell>
          <cell r="F191">
            <v>10.97</v>
          </cell>
          <cell r="G191">
            <v>168.3</v>
          </cell>
          <cell r="H191">
            <v>4.4999999999999998E-2</v>
          </cell>
        </row>
        <row r="192">
          <cell r="A192" t="str">
            <v>80S200</v>
          </cell>
          <cell r="B192" t="str">
            <v>acier 80S</v>
          </cell>
          <cell r="C192" t="str">
            <v>8"</v>
          </cell>
          <cell r="E192">
            <v>193.7</v>
          </cell>
          <cell r="F192">
            <v>12.7</v>
          </cell>
          <cell r="G192">
            <v>219.1</v>
          </cell>
          <cell r="H192">
            <v>4.4999999999999998E-2</v>
          </cell>
        </row>
        <row r="193">
          <cell r="A193" t="str">
            <v>80S250</v>
          </cell>
          <cell r="B193" t="str">
            <v>acier 80S</v>
          </cell>
          <cell r="C193" t="str">
            <v>10"</v>
          </cell>
          <cell r="E193">
            <v>243.12800000000001</v>
          </cell>
          <cell r="F193">
            <v>14.985999999999999</v>
          </cell>
          <cell r="G193">
            <v>273.10000000000002</v>
          </cell>
          <cell r="H193">
            <v>4.4999999999999998E-2</v>
          </cell>
        </row>
        <row r="194">
          <cell r="A194" t="str">
            <v>80S300</v>
          </cell>
          <cell r="B194" t="str">
            <v>acier 80S</v>
          </cell>
          <cell r="C194" t="str">
            <v>12"</v>
          </cell>
          <cell r="E194">
            <v>288.84799999999996</v>
          </cell>
          <cell r="F194">
            <v>17.525999999999996</v>
          </cell>
          <cell r="G194">
            <v>323.89999999999998</v>
          </cell>
          <cell r="H194">
            <v>4.4999999999999998E-2</v>
          </cell>
        </row>
        <row r="195">
          <cell r="A195" t="str">
            <v>80S350</v>
          </cell>
          <cell r="B195" t="str">
            <v>acier 80S</v>
          </cell>
          <cell r="C195" t="str">
            <v>14"</v>
          </cell>
          <cell r="E195">
            <v>317.5</v>
          </cell>
          <cell r="F195">
            <v>19.05</v>
          </cell>
          <cell r="G195">
            <v>355.6</v>
          </cell>
          <cell r="H195">
            <v>4.4999999999999998E-2</v>
          </cell>
        </row>
        <row r="196">
          <cell r="A196" t="str">
            <v>80S400</v>
          </cell>
          <cell r="B196" t="str">
            <v>acier 80S</v>
          </cell>
          <cell r="C196" t="str">
            <v>16"</v>
          </cell>
          <cell r="E196">
            <v>363.72799999999995</v>
          </cell>
          <cell r="F196">
            <v>21.335999999999999</v>
          </cell>
          <cell r="G196">
            <v>406.4</v>
          </cell>
          <cell r="H196">
            <v>4.4999999999999998E-2</v>
          </cell>
        </row>
        <row r="197">
          <cell r="A197" t="str">
            <v>80S450</v>
          </cell>
          <cell r="B197" t="str">
            <v>acier 80S</v>
          </cell>
          <cell r="C197" t="str">
            <v>18"</v>
          </cell>
          <cell r="E197">
            <v>409.24799999999999</v>
          </cell>
          <cell r="F197">
            <v>23.875999999999998</v>
          </cell>
          <cell r="G197">
            <v>457</v>
          </cell>
          <cell r="H197">
            <v>4.4999999999999998E-2</v>
          </cell>
        </row>
        <row r="198">
          <cell r="A198" t="str">
            <v>80S500</v>
          </cell>
          <cell r="B198" t="str">
            <v>acier 80S</v>
          </cell>
          <cell r="C198" t="str">
            <v>20"</v>
          </cell>
          <cell r="E198">
            <v>455.67599999999999</v>
          </cell>
          <cell r="F198">
            <v>26.161999999999999</v>
          </cell>
          <cell r="G198">
            <v>508</v>
          </cell>
          <cell r="H198">
            <v>4.4999999999999998E-2</v>
          </cell>
        </row>
        <row r="199">
          <cell r="A199" t="str">
            <v>80S600</v>
          </cell>
          <cell r="B199" t="str">
            <v>acier 80S</v>
          </cell>
          <cell r="C199" t="str">
            <v>24"</v>
          </cell>
          <cell r="E199">
            <v>548.024</v>
          </cell>
          <cell r="F199">
            <v>30.987999999999996</v>
          </cell>
          <cell r="G199">
            <v>610</v>
          </cell>
          <cell r="H199">
            <v>4.4999999999999998E-2</v>
          </cell>
        </row>
        <row r="202">
          <cell r="A202" t="str">
            <v>==============</v>
          </cell>
          <cell r="B202" t="str">
            <v>==============</v>
          </cell>
          <cell r="C202" t="str">
            <v>==============</v>
          </cell>
        </row>
        <row r="203">
          <cell r="A203" t="str">
            <v>Tube cuivre</v>
          </cell>
          <cell r="B203" t="str">
            <v>en France</v>
          </cell>
          <cell r="C203" t="str">
            <v>Basic</v>
          </cell>
        </row>
        <row r="204">
          <cell r="A204" t="str">
            <v>==============</v>
          </cell>
          <cell r="B204" t="str">
            <v>==============</v>
          </cell>
          <cell r="C204" t="str">
            <v>==============</v>
          </cell>
        </row>
        <row r="205">
          <cell r="A205" t="str">
            <v>CU10</v>
          </cell>
          <cell r="B205" t="str">
            <v>cuivre</v>
          </cell>
          <cell r="C205" t="str">
            <v>10/12</v>
          </cell>
          <cell r="D205" t="str">
            <v>CU12 - 3/8"</v>
          </cell>
          <cell r="E205">
            <v>10</v>
          </cell>
          <cell r="F205" t="str">
            <v>1</v>
          </cell>
          <cell r="G205">
            <v>12</v>
          </cell>
          <cell r="H205">
            <v>1.5E-3</v>
          </cell>
        </row>
        <row r="206">
          <cell r="A206" t="str">
            <v>CU12</v>
          </cell>
          <cell r="B206" t="str">
            <v>cuivre</v>
          </cell>
          <cell r="C206" t="str">
            <v>12/14</v>
          </cell>
          <cell r="D206" t="str">
            <v>DN15 - 1/2"</v>
          </cell>
          <cell r="E206">
            <v>12</v>
          </cell>
          <cell r="F206" t="str">
            <v>1</v>
          </cell>
          <cell r="G206">
            <v>14</v>
          </cell>
          <cell r="H206">
            <v>1.5E-3</v>
          </cell>
        </row>
        <row r="207">
          <cell r="A207" t="str">
            <v>CU14</v>
          </cell>
          <cell r="B207" t="str">
            <v>cuivre</v>
          </cell>
          <cell r="C207" t="str">
            <v>14/16</v>
          </cell>
          <cell r="D207" t="str">
            <v>5/8"</v>
          </cell>
          <cell r="E207">
            <v>14</v>
          </cell>
          <cell r="F207" t="str">
            <v>1</v>
          </cell>
          <cell r="G207">
            <v>16</v>
          </cell>
          <cell r="H207">
            <v>1.5E-3</v>
          </cell>
        </row>
        <row r="208">
          <cell r="A208" t="str">
            <v>CU16</v>
          </cell>
          <cell r="B208" t="str">
            <v>cuivre</v>
          </cell>
          <cell r="C208" t="str">
            <v>16/18</v>
          </cell>
          <cell r="E208">
            <v>16</v>
          </cell>
          <cell r="F208" t="str">
            <v>1</v>
          </cell>
          <cell r="G208">
            <v>18</v>
          </cell>
          <cell r="H208">
            <v>1.5E-3</v>
          </cell>
        </row>
        <row r="209">
          <cell r="A209" t="str">
            <v>CU18</v>
          </cell>
          <cell r="B209" t="str">
            <v>cuivre</v>
          </cell>
          <cell r="C209" t="str">
            <v>18/20</v>
          </cell>
          <cell r="D209" t="str">
            <v>DN20 - 3/4"</v>
          </cell>
          <cell r="E209">
            <v>18</v>
          </cell>
          <cell r="F209" t="str">
            <v>1</v>
          </cell>
          <cell r="G209">
            <v>20</v>
          </cell>
          <cell r="H209">
            <v>1.5E-3</v>
          </cell>
        </row>
        <row r="210">
          <cell r="A210" t="str">
            <v>CU20</v>
          </cell>
          <cell r="B210" t="str">
            <v>cuivre</v>
          </cell>
          <cell r="C210" t="str">
            <v>20/22</v>
          </cell>
          <cell r="D210" t="str">
            <v>DN20 - 3/4"</v>
          </cell>
          <cell r="E210">
            <v>20</v>
          </cell>
          <cell r="F210" t="str">
            <v>1</v>
          </cell>
          <cell r="G210">
            <v>22</v>
          </cell>
          <cell r="H210">
            <v>1.5E-3</v>
          </cell>
        </row>
        <row r="211">
          <cell r="A211" t="str">
            <v>CU26</v>
          </cell>
          <cell r="B211" t="str">
            <v>cuivre</v>
          </cell>
          <cell r="C211" t="str">
            <v>26/28</v>
          </cell>
          <cell r="D211" t="str">
            <v>DN25 - 1"</v>
          </cell>
          <cell r="E211">
            <v>26</v>
          </cell>
          <cell r="F211" t="str">
            <v>1</v>
          </cell>
          <cell r="G211">
            <v>28</v>
          </cell>
          <cell r="H211">
            <v>1.5E-3</v>
          </cell>
        </row>
        <row r="212">
          <cell r="A212" t="str">
            <v>CU30</v>
          </cell>
          <cell r="B212" t="str">
            <v>cuivre</v>
          </cell>
          <cell r="C212" t="str">
            <v>30/32</v>
          </cell>
          <cell r="D212" t="str">
            <v>DN25 - 1"</v>
          </cell>
          <cell r="E212">
            <v>29.6</v>
          </cell>
          <cell r="F212" t="str">
            <v>1,2</v>
          </cell>
          <cell r="G212">
            <v>32</v>
          </cell>
          <cell r="H212">
            <v>1.5E-3</v>
          </cell>
        </row>
        <row r="213">
          <cell r="A213" t="str">
            <v>CU34</v>
          </cell>
          <cell r="B213" t="str">
            <v>cuivre</v>
          </cell>
          <cell r="C213" t="str">
            <v>34/36</v>
          </cell>
          <cell r="D213" t="str">
            <v>1-1/8"</v>
          </cell>
          <cell r="E213">
            <v>33.6</v>
          </cell>
          <cell r="F213" t="str">
            <v>1,2</v>
          </cell>
          <cell r="G213">
            <v>36</v>
          </cell>
          <cell r="H213">
            <v>1.5E-3</v>
          </cell>
        </row>
        <row r="214">
          <cell r="A214" t="str">
            <v>CU40</v>
          </cell>
          <cell r="B214" t="str">
            <v>cuivre</v>
          </cell>
          <cell r="C214" t="str">
            <v>40/42</v>
          </cell>
          <cell r="D214" t="str">
            <v>1-3/8"</v>
          </cell>
          <cell r="E214">
            <v>39.6</v>
          </cell>
          <cell r="F214" t="str">
            <v>1,2</v>
          </cell>
          <cell r="G214">
            <v>42</v>
          </cell>
          <cell r="H214">
            <v>1.5E-3</v>
          </cell>
        </row>
        <row r="215">
          <cell r="A215" t="str">
            <v>CU52</v>
          </cell>
          <cell r="B215" t="str">
            <v>cuivre</v>
          </cell>
          <cell r="C215" t="str">
            <v>52/54</v>
          </cell>
          <cell r="D215" t="str">
            <v>1-5/8"</v>
          </cell>
          <cell r="E215">
            <v>51.6</v>
          </cell>
          <cell r="F215" t="str">
            <v>1,2</v>
          </cell>
          <cell r="G215">
            <v>54</v>
          </cell>
          <cell r="H215">
            <v>1.5E-3</v>
          </cell>
        </row>
        <row r="218">
          <cell r="A218" t="str">
            <v>==============</v>
          </cell>
          <cell r="B218" t="str">
            <v>==============</v>
          </cell>
        </row>
        <row r="219">
          <cell r="A219" t="str">
            <v>Tube cuivre</v>
          </cell>
          <cell r="B219" t="str">
            <v>frigorifique</v>
          </cell>
        </row>
        <row r="220">
          <cell r="A220" t="str">
            <v>==============</v>
          </cell>
          <cell r="B220" t="str">
            <v>==============</v>
          </cell>
        </row>
        <row r="221">
          <cell r="A221" t="str">
            <v>FR6</v>
          </cell>
          <cell r="B221" t="str">
            <v>cuivre-frigo</v>
          </cell>
          <cell r="C221" t="str">
            <v>1/4"</v>
          </cell>
          <cell r="D221" t="str">
            <v>1/4"</v>
          </cell>
          <cell r="E221">
            <v>4.83</v>
          </cell>
          <cell r="F221">
            <v>0.76</v>
          </cell>
          <cell r="G221">
            <v>6.35</v>
          </cell>
          <cell r="H221">
            <v>1.5E-3</v>
          </cell>
        </row>
        <row r="222">
          <cell r="A222" t="str">
            <v>FR6</v>
          </cell>
          <cell r="B222" t="str">
            <v>cuivre-frigo</v>
          </cell>
          <cell r="C222" t="str">
            <v>1/4"</v>
          </cell>
          <cell r="D222" t="str">
            <v>1/4"</v>
          </cell>
          <cell r="E222">
            <v>4.83</v>
          </cell>
          <cell r="F222">
            <v>0.76</v>
          </cell>
          <cell r="G222">
            <v>6.35</v>
          </cell>
          <cell r="H222">
            <v>1.5E-3</v>
          </cell>
        </row>
        <row r="223">
          <cell r="A223" t="str">
            <v>FR10</v>
          </cell>
          <cell r="B223" t="str">
            <v>cuivre-frigo</v>
          </cell>
          <cell r="C223" t="str">
            <v>3/8"</v>
          </cell>
          <cell r="D223" t="str">
            <v>DN12 - 3/8"</v>
          </cell>
          <cell r="E223">
            <v>8</v>
          </cell>
          <cell r="F223">
            <v>0.76</v>
          </cell>
          <cell r="G223">
            <v>9.52</v>
          </cell>
          <cell r="H223">
            <v>1.5E-3</v>
          </cell>
        </row>
        <row r="224">
          <cell r="A224" t="str">
            <v>FR12</v>
          </cell>
          <cell r="B224" t="str">
            <v>cuivre-frigo</v>
          </cell>
          <cell r="C224" t="str">
            <v>1/2"</v>
          </cell>
          <cell r="D224" t="str">
            <v>DN15 - 1/2"</v>
          </cell>
          <cell r="E224">
            <v>10.92</v>
          </cell>
          <cell r="F224">
            <v>0.89</v>
          </cell>
          <cell r="G224">
            <v>12.7</v>
          </cell>
          <cell r="H224">
            <v>1.5E-3</v>
          </cell>
        </row>
        <row r="225">
          <cell r="A225" t="str">
            <v>FR14</v>
          </cell>
          <cell r="B225" t="str">
            <v>cuivre-frigo</v>
          </cell>
          <cell r="C225" t="str">
            <v>5/8"</v>
          </cell>
          <cell r="D225" t="str">
            <v>5/8"</v>
          </cell>
          <cell r="E225">
            <v>13.86</v>
          </cell>
          <cell r="F225">
            <v>1.02</v>
          </cell>
          <cell r="G225">
            <v>15.9</v>
          </cell>
          <cell r="H225">
            <v>1.5E-3</v>
          </cell>
        </row>
        <row r="226">
          <cell r="A226" t="str">
            <v>FR18</v>
          </cell>
          <cell r="B226" t="str">
            <v>cuivre-frigo</v>
          </cell>
          <cell r="C226" t="str">
            <v>3/4"</v>
          </cell>
          <cell r="D226" t="str">
            <v>DN20 - 3/4"</v>
          </cell>
          <cell r="E226">
            <v>16.96</v>
          </cell>
          <cell r="F226">
            <v>1.07</v>
          </cell>
          <cell r="G226">
            <v>19.100000000000001</v>
          </cell>
          <cell r="H226">
            <v>1.5E-3</v>
          </cell>
        </row>
        <row r="227">
          <cell r="A227" t="str">
            <v>FR20</v>
          </cell>
          <cell r="B227" t="str">
            <v>cuivre-frigo</v>
          </cell>
          <cell r="C227" t="str">
            <v>7/8"</v>
          </cell>
          <cell r="D227" t="str">
            <v>7/8"</v>
          </cell>
          <cell r="E227">
            <v>19.920000000000002</v>
          </cell>
          <cell r="F227">
            <v>1.1399999999999999</v>
          </cell>
          <cell r="G227">
            <v>22.2</v>
          </cell>
          <cell r="H227">
            <v>1.5E-3</v>
          </cell>
        </row>
        <row r="228">
          <cell r="A228" t="str">
            <v>FR25</v>
          </cell>
          <cell r="B228" t="str">
            <v>cuivre-frigo</v>
          </cell>
          <cell r="C228" t="str">
            <v>1"</v>
          </cell>
          <cell r="D228" t="str">
            <v>DN25 - 1"</v>
          </cell>
          <cell r="E228">
            <v>22.76</v>
          </cell>
          <cell r="F228">
            <v>1.1399999999999999</v>
          </cell>
          <cell r="G228">
            <v>25.04</v>
          </cell>
          <cell r="H228">
            <v>1.5E-3</v>
          </cell>
        </row>
        <row r="229">
          <cell r="A229" t="str">
            <v>FR26</v>
          </cell>
          <cell r="B229" t="str">
            <v>cuivre-frigo</v>
          </cell>
          <cell r="C229" t="str">
            <v>1-1/8"</v>
          </cell>
          <cell r="D229" t="str">
            <v>1-1/8"</v>
          </cell>
          <cell r="E229">
            <v>26.06</v>
          </cell>
          <cell r="F229">
            <v>1.27</v>
          </cell>
          <cell r="G229">
            <v>28.6</v>
          </cell>
          <cell r="H229">
            <v>1.5E-3</v>
          </cell>
        </row>
        <row r="230">
          <cell r="A230" t="str">
            <v>FR32</v>
          </cell>
          <cell r="B230" t="str">
            <v>cuivre-frigo</v>
          </cell>
          <cell r="C230" t="str">
            <v>1-3/8"</v>
          </cell>
          <cell r="D230" t="str">
            <v>1-3/8"</v>
          </cell>
          <cell r="E230">
            <v>32.1</v>
          </cell>
          <cell r="F230">
            <v>1.4</v>
          </cell>
          <cell r="G230">
            <v>34.9</v>
          </cell>
          <cell r="H230">
            <v>1.5E-3</v>
          </cell>
        </row>
        <row r="231">
          <cell r="A231" t="str">
            <v>FR40</v>
          </cell>
          <cell r="B231" t="str">
            <v>cuivre-frigo</v>
          </cell>
          <cell r="C231" t="str">
            <v>1-5/8"</v>
          </cell>
          <cell r="D231" t="str">
            <v>1-5/8"</v>
          </cell>
          <cell r="E231">
            <v>38.26</v>
          </cell>
          <cell r="F231">
            <v>1.52</v>
          </cell>
          <cell r="G231">
            <v>41.3</v>
          </cell>
          <cell r="H231">
            <v>1.5E-3</v>
          </cell>
        </row>
        <row r="232">
          <cell r="A232" t="str">
            <v>FR50</v>
          </cell>
          <cell r="B232" t="str">
            <v>cuivre-frigo</v>
          </cell>
          <cell r="C232" t="str">
            <v>2-1/8"</v>
          </cell>
          <cell r="D232" t="str">
            <v>2-1/8"</v>
          </cell>
          <cell r="E232">
            <v>50.44</v>
          </cell>
          <cell r="F232">
            <v>1.78</v>
          </cell>
          <cell r="G232">
            <v>54</v>
          </cell>
          <cell r="H232">
            <v>1.5E-3</v>
          </cell>
        </row>
        <row r="233">
          <cell r="A233" t="str">
            <v>FR65</v>
          </cell>
          <cell r="B233" t="str">
            <v>cuivre-frigo</v>
          </cell>
          <cell r="C233" t="str">
            <v>2-5/8"</v>
          </cell>
          <cell r="D233" t="str">
            <v>2-5/8"</v>
          </cell>
          <cell r="E233">
            <v>62.61</v>
          </cell>
          <cell r="F233">
            <v>2.0299999999999998</v>
          </cell>
          <cell r="G233">
            <v>66.67</v>
          </cell>
          <cell r="H233">
            <v>1.5E-3</v>
          </cell>
        </row>
        <row r="234">
          <cell r="A234" t="str">
            <v>FR80</v>
          </cell>
          <cell r="B234" t="str">
            <v>cuivre-frigo</v>
          </cell>
          <cell r="C234" t="str">
            <v>3-1/8"</v>
          </cell>
          <cell r="D234" t="str">
            <v>3-1/8"</v>
          </cell>
          <cell r="E234">
            <v>74.790000000000006</v>
          </cell>
          <cell r="F234">
            <v>2.29</v>
          </cell>
          <cell r="G234">
            <v>79.37</v>
          </cell>
          <cell r="H234">
            <v>1.5E-3</v>
          </cell>
        </row>
        <row r="235">
          <cell r="A235" t="str">
            <v>FR90</v>
          </cell>
          <cell r="B235" t="str">
            <v>cuivre-frigo</v>
          </cell>
          <cell r="C235">
            <v>3.625</v>
          </cell>
          <cell r="D235">
            <v>3.625</v>
          </cell>
          <cell r="E235">
            <v>87.02</v>
          </cell>
          <cell r="F235">
            <v>2.54</v>
          </cell>
          <cell r="G235">
            <v>92.1</v>
          </cell>
          <cell r="H235">
            <v>1.5E-3</v>
          </cell>
        </row>
        <row r="236">
          <cell r="A236" t="str">
            <v>FR100</v>
          </cell>
          <cell r="B236" t="str">
            <v>cuivre-frigo</v>
          </cell>
          <cell r="C236">
            <v>4.125</v>
          </cell>
          <cell r="D236">
            <v>4.125</v>
          </cell>
          <cell r="E236">
            <v>99.22</v>
          </cell>
          <cell r="F236">
            <v>2.79</v>
          </cell>
          <cell r="G236">
            <v>104.8</v>
          </cell>
          <cell r="H236">
            <v>1.5E-3</v>
          </cell>
        </row>
        <row r="238">
          <cell r="A238" t="str">
            <v>==============</v>
          </cell>
          <cell r="B238" t="str">
            <v>==============</v>
          </cell>
          <cell r="C238" t="str">
            <v>==============</v>
          </cell>
        </row>
        <row r="239">
          <cell r="A239" t="str">
            <v>Tube cuivre</v>
          </cell>
          <cell r="B239" t="str">
            <v>en Europe</v>
          </cell>
          <cell r="C239" t="str">
            <v>BS EN 1057</v>
          </cell>
        </row>
        <row r="240">
          <cell r="A240" t="str">
            <v>==============</v>
          </cell>
          <cell r="B240" t="str">
            <v>==============</v>
          </cell>
          <cell r="C240" t="str">
            <v>==============</v>
          </cell>
        </row>
        <row r="241">
          <cell r="A241" t="str">
            <v>CUY6</v>
          </cell>
          <cell r="B241" t="str">
            <v>cuivre Y</v>
          </cell>
          <cell r="D241" t="str">
            <v>4/6</v>
          </cell>
          <cell r="E241">
            <v>4.4000000000000004</v>
          </cell>
          <cell r="F241">
            <v>0.8</v>
          </cell>
          <cell r="G241">
            <v>6</v>
          </cell>
          <cell r="H241">
            <v>1.5E-3</v>
          </cell>
        </row>
        <row r="242">
          <cell r="A242" t="str">
            <v>CUY8</v>
          </cell>
          <cell r="B242" t="str">
            <v>cuivre Y</v>
          </cell>
          <cell r="C242" t="str">
            <v>3/8"</v>
          </cell>
          <cell r="D242" t="str">
            <v>6/8</v>
          </cell>
          <cell r="E242">
            <v>6.4</v>
          </cell>
          <cell r="F242">
            <v>0.8</v>
          </cell>
          <cell r="G242">
            <v>8</v>
          </cell>
          <cell r="H242">
            <v>1.5E-3</v>
          </cell>
        </row>
        <row r="243">
          <cell r="A243" t="str">
            <v>CUY10</v>
          </cell>
          <cell r="B243" t="str">
            <v>cuivre Y</v>
          </cell>
          <cell r="C243" t="str">
            <v>3/8"</v>
          </cell>
          <cell r="D243" t="str">
            <v>8/10</v>
          </cell>
          <cell r="E243">
            <v>8.4</v>
          </cell>
          <cell r="F243">
            <v>0.8</v>
          </cell>
          <cell r="G243">
            <v>10</v>
          </cell>
          <cell r="H243">
            <v>1.5E-3</v>
          </cell>
        </row>
        <row r="244">
          <cell r="A244" t="str">
            <v>CUY12</v>
          </cell>
          <cell r="B244" t="str">
            <v>cuivre Y</v>
          </cell>
          <cell r="C244" t="str">
            <v>5/8"</v>
          </cell>
          <cell r="D244" t="str">
            <v>10/12</v>
          </cell>
          <cell r="E244">
            <v>10.4</v>
          </cell>
          <cell r="F244">
            <v>0.8</v>
          </cell>
          <cell r="G244">
            <v>12</v>
          </cell>
          <cell r="H244">
            <v>1.5E-3</v>
          </cell>
        </row>
        <row r="245">
          <cell r="A245" t="str">
            <v>CUY15</v>
          </cell>
          <cell r="B245" t="str">
            <v>cuivre Y</v>
          </cell>
          <cell r="C245" t="str">
            <v>1/2"</v>
          </cell>
          <cell r="D245" t="str">
            <v>14/16</v>
          </cell>
          <cell r="E245">
            <v>13</v>
          </cell>
          <cell r="F245">
            <v>1</v>
          </cell>
          <cell r="G245">
            <v>15</v>
          </cell>
          <cell r="H245">
            <v>1.5E-3</v>
          </cell>
        </row>
        <row r="246">
          <cell r="A246" t="str">
            <v>CUY18</v>
          </cell>
          <cell r="B246" t="str">
            <v>cuivre Y</v>
          </cell>
          <cell r="C246" t="str">
            <v>3/4"</v>
          </cell>
          <cell r="D246" t="str">
            <v>16/18</v>
          </cell>
          <cell r="E246">
            <v>16</v>
          </cell>
          <cell r="F246">
            <v>1</v>
          </cell>
          <cell r="G246">
            <v>18</v>
          </cell>
          <cell r="H246">
            <v>1.5E-3</v>
          </cell>
        </row>
        <row r="247">
          <cell r="A247" t="str">
            <v>CUY22</v>
          </cell>
          <cell r="B247" t="str">
            <v>cuivre Y</v>
          </cell>
          <cell r="C247" t="str">
            <v>3/4"</v>
          </cell>
          <cell r="D247" t="str">
            <v>20/22</v>
          </cell>
          <cell r="E247">
            <v>19.600000000000001</v>
          </cell>
          <cell r="F247">
            <v>1.2</v>
          </cell>
          <cell r="G247">
            <v>22</v>
          </cell>
          <cell r="H247">
            <v>1.5E-3</v>
          </cell>
        </row>
        <row r="248">
          <cell r="A248" t="str">
            <v>CUY28</v>
          </cell>
          <cell r="B248" t="str">
            <v>cuivre Y</v>
          </cell>
          <cell r="C248" t="str">
            <v>1"</v>
          </cell>
          <cell r="D248" t="str">
            <v>26/28</v>
          </cell>
          <cell r="E248">
            <v>25.6</v>
          </cell>
          <cell r="F248">
            <v>1.2</v>
          </cell>
          <cell r="G248">
            <v>28</v>
          </cell>
          <cell r="H248">
            <v>1.5E-3</v>
          </cell>
        </row>
        <row r="249">
          <cell r="A249" t="str">
            <v>CUY35</v>
          </cell>
          <cell r="B249" t="str">
            <v>cuivre Y</v>
          </cell>
          <cell r="C249" t="str">
            <v>1,25"</v>
          </cell>
          <cell r="D249" t="str">
            <v>32/35</v>
          </cell>
          <cell r="E249">
            <v>32</v>
          </cell>
          <cell r="F249">
            <v>1.5</v>
          </cell>
          <cell r="G249">
            <v>35</v>
          </cell>
          <cell r="H249">
            <v>1.5E-3</v>
          </cell>
        </row>
        <row r="250">
          <cell r="A250" t="str">
            <v>CUY42</v>
          </cell>
          <cell r="B250" t="str">
            <v>cuivre Y</v>
          </cell>
          <cell r="C250" t="str">
            <v>1,5"</v>
          </cell>
          <cell r="D250" t="str">
            <v>40/42</v>
          </cell>
          <cell r="E250">
            <v>39</v>
          </cell>
          <cell r="F250">
            <v>1.5</v>
          </cell>
          <cell r="G250">
            <v>42</v>
          </cell>
          <cell r="H250">
            <v>1.5E-3</v>
          </cell>
        </row>
        <row r="251">
          <cell r="A251" t="str">
            <v>CUY54</v>
          </cell>
          <cell r="B251" t="str">
            <v>cuivre Y</v>
          </cell>
          <cell r="C251" t="str">
            <v>2"</v>
          </cell>
          <cell r="D251" t="str">
            <v>52/54</v>
          </cell>
          <cell r="E251">
            <v>50</v>
          </cell>
          <cell r="F251">
            <v>2</v>
          </cell>
          <cell r="G251">
            <v>54</v>
          </cell>
          <cell r="H251">
            <v>1.5E-3</v>
          </cell>
        </row>
        <row r="252">
          <cell r="A252" t="str">
            <v>CUY65</v>
          </cell>
          <cell r="B252" t="str">
            <v>cuivre Y</v>
          </cell>
          <cell r="C252" t="str">
            <v>2,5"</v>
          </cell>
          <cell r="D252" t="str">
            <v>64/2</v>
          </cell>
          <cell r="E252">
            <v>62.7</v>
          </cell>
          <cell r="F252">
            <v>2</v>
          </cell>
          <cell r="G252">
            <v>66.7</v>
          </cell>
          <cell r="H252">
            <v>1.5E-3</v>
          </cell>
        </row>
        <row r="253">
          <cell r="A253" t="str">
            <v>CUY76</v>
          </cell>
          <cell r="B253" t="str">
            <v>cuivre Y</v>
          </cell>
          <cell r="C253" t="str">
            <v>3"</v>
          </cell>
          <cell r="D253" t="str">
            <v>72/2</v>
          </cell>
          <cell r="E253">
            <v>72.099999999999994</v>
          </cell>
          <cell r="F253">
            <v>2</v>
          </cell>
          <cell r="G253">
            <v>76.099999999999994</v>
          </cell>
          <cell r="H253">
            <v>1.5E-3</v>
          </cell>
        </row>
        <row r="254">
          <cell r="A254" t="str">
            <v>CUY100</v>
          </cell>
          <cell r="B254" t="str">
            <v>cuivre Y</v>
          </cell>
          <cell r="C254" t="str">
            <v>4"</v>
          </cell>
          <cell r="D254" t="str">
            <v>103/2,5</v>
          </cell>
          <cell r="E254">
            <v>103</v>
          </cell>
          <cell r="F254">
            <v>2.5</v>
          </cell>
          <cell r="G254">
            <v>108</v>
          </cell>
          <cell r="H254">
            <v>1.5E-3</v>
          </cell>
        </row>
        <row r="256">
          <cell r="A256" t="str">
            <v>CUX6</v>
          </cell>
          <cell r="B256" t="str">
            <v>cuivre X</v>
          </cell>
          <cell r="D256" t="str">
            <v>4/6</v>
          </cell>
          <cell r="E256">
            <v>4.8</v>
          </cell>
          <cell r="F256">
            <v>0.6</v>
          </cell>
          <cell r="G256">
            <v>6</v>
          </cell>
          <cell r="H256">
            <v>1.5E-3</v>
          </cell>
        </row>
        <row r="257">
          <cell r="A257" t="str">
            <v>CUX8</v>
          </cell>
          <cell r="B257" t="str">
            <v>cuivre X</v>
          </cell>
          <cell r="C257" t="str">
            <v>3/8"</v>
          </cell>
          <cell r="D257" t="str">
            <v>6/8</v>
          </cell>
          <cell r="E257">
            <v>6.8</v>
          </cell>
          <cell r="F257">
            <v>0.6</v>
          </cell>
          <cell r="G257">
            <v>8</v>
          </cell>
          <cell r="H257">
            <v>1.5E-3</v>
          </cell>
        </row>
        <row r="258">
          <cell r="A258" t="str">
            <v>CUX10</v>
          </cell>
          <cell r="B258" t="str">
            <v>cuivre X</v>
          </cell>
          <cell r="C258" t="str">
            <v>3/8"</v>
          </cell>
          <cell r="D258" t="str">
            <v>8/10</v>
          </cell>
          <cell r="E258">
            <v>8.8000000000000007</v>
          </cell>
          <cell r="F258">
            <v>0.6</v>
          </cell>
          <cell r="G258">
            <v>10</v>
          </cell>
          <cell r="H258">
            <v>1.5E-3</v>
          </cell>
        </row>
        <row r="259">
          <cell r="A259" t="str">
            <v>CUX12</v>
          </cell>
          <cell r="B259" t="str">
            <v>cuivre X</v>
          </cell>
          <cell r="C259" t="str">
            <v>5/8"</v>
          </cell>
          <cell r="D259" t="str">
            <v>10/12</v>
          </cell>
          <cell r="E259">
            <v>10.8</v>
          </cell>
          <cell r="F259">
            <v>0.6</v>
          </cell>
          <cell r="G259">
            <v>12</v>
          </cell>
          <cell r="H259">
            <v>1.5E-3</v>
          </cell>
        </row>
        <row r="260">
          <cell r="A260" t="str">
            <v>CUX15</v>
          </cell>
          <cell r="B260" t="str">
            <v>cuivre X</v>
          </cell>
          <cell r="C260" t="str">
            <v>1/2"</v>
          </cell>
          <cell r="D260" t="str">
            <v>14/16</v>
          </cell>
          <cell r="E260">
            <v>13.6</v>
          </cell>
          <cell r="F260">
            <v>0.7</v>
          </cell>
          <cell r="G260">
            <v>15</v>
          </cell>
          <cell r="H260">
            <v>1.5E-3</v>
          </cell>
        </row>
        <row r="261">
          <cell r="A261" t="str">
            <v>CUX18</v>
          </cell>
          <cell r="B261" t="str">
            <v>cuivre X</v>
          </cell>
          <cell r="C261" t="str">
            <v>3/4"</v>
          </cell>
          <cell r="D261" t="str">
            <v>16/18</v>
          </cell>
          <cell r="E261">
            <v>16.399999999999999</v>
          </cell>
          <cell r="F261">
            <v>0.8</v>
          </cell>
          <cell r="G261">
            <v>18</v>
          </cell>
          <cell r="H261">
            <v>1.5E-3</v>
          </cell>
        </row>
        <row r="262">
          <cell r="A262" t="str">
            <v>CUX22</v>
          </cell>
          <cell r="B262" t="str">
            <v>cuivre X</v>
          </cell>
          <cell r="C262" t="str">
            <v>3/4"</v>
          </cell>
          <cell r="D262" t="str">
            <v>20/22</v>
          </cell>
          <cell r="E262">
            <v>20.2</v>
          </cell>
          <cell r="F262">
            <v>0.9</v>
          </cell>
          <cell r="G262">
            <v>22</v>
          </cell>
          <cell r="H262">
            <v>1.5E-3</v>
          </cell>
        </row>
        <row r="263">
          <cell r="A263" t="str">
            <v>CUX28</v>
          </cell>
          <cell r="B263" t="str">
            <v>cuivre X</v>
          </cell>
          <cell r="C263" t="str">
            <v>1"</v>
          </cell>
          <cell r="D263" t="str">
            <v>26/28</v>
          </cell>
          <cell r="E263">
            <v>26.2</v>
          </cell>
          <cell r="F263">
            <v>0.9</v>
          </cell>
          <cell r="G263">
            <v>28</v>
          </cell>
          <cell r="H263">
            <v>1.5E-3</v>
          </cell>
        </row>
        <row r="264">
          <cell r="A264" t="str">
            <v>CUX35</v>
          </cell>
          <cell r="B264" t="str">
            <v>cuivre X</v>
          </cell>
          <cell r="C264" t="str">
            <v>1,25"</v>
          </cell>
          <cell r="D264" t="str">
            <v>32/35</v>
          </cell>
          <cell r="E264">
            <v>32.6</v>
          </cell>
          <cell r="F264">
            <v>1.2</v>
          </cell>
          <cell r="G264">
            <v>35</v>
          </cell>
          <cell r="H264">
            <v>1.5E-3</v>
          </cell>
        </row>
        <row r="265">
          <cell r="A265" t="str">
            <v>CUX42</v>
          </cell>
          <cell r="B265" t="str">
            <v>cuivre X</v>
          </cell>
          <cell r="C265" t="str">
            <v>1,5"</v>
          </cell>
          <cell r="D265" t="str">
            <v>40/42</v>
          </cell>
          <cell r="E265">
            <v>39.6</v>
          </cell>
          <cell r="F265">
            <v>1.2</v>
          </cell>
          <cell r="G265">
            <v>42</v>
          </cell>
          <cell r="H265">
            <v>1.5E-3</v>
          </cell>
        </row>
        <row r="266">
          <cell r="A266" t="str">
            <v>CUX54</v>
          </cell>
          <cell r="B266" t="str">
            <v>cuivre X</v>
          </cell>
          <cell r="C266" t="str">
            <v>2"</v>
          </cell>
          <cell r="D266" t="str">
            <v>52/54</v>
          </cell>
          <cell r="E266">
            <v>51.6</v>
          </cell>
          <cell r="F266">
            <v>1.2</v>
          </cell>
          <cell r="G266">
            <v>54</v>
          </cell>
          <cell r="H266">
            <v>1.5E-3</v>
          </cell>
        </row>
        <row r="267">
          <cell r="A267" t="str">
            <v>CUX65</v>
          </cell>
          <cell r="B267" t="str">
            <v>cuivre X</v>
          </cell>
          <cell r="C267" t="str">
            <v>2,5"</v>
          </cell>
          <cell r="D267" t="str">
            <v>64/2</v>
          </cell>
          <cell r="E267">
            <v>64.3</v>
          </cell>
          <cell r="F267">
            <v>1.2</v>
          </cell>
          <cell r="G267">
            <v>66.7</v>
          </cell>
          <cell r="H267">
            <v>1.5E-3</v>
          </cell>
        </row>
        <row r="268">
          <cell r="A268" t="str">
            <v>CUX76</v>
          </cell>
          <cell r="B268" t="str">
            <v>cuivre X</v>
          </cell>
          <cell r="C268" t="str">
            <v>3"</v>
          </cell>
          <cell r="D268" t="str">
            <v>72/2</v>
          </cell>
          <cell r="E268">
            <v>73.099999999999994</v>
          </cell>
          <cell r="F268">
            <v>1.5</v>
          </cell>
          <cell r="G268">
            <v>76.099999999999994</v>
          </cell>
          <cell r="H268">
            <v>1.5E-3</v>
          </cell>
        </row>
        <row r="269">
          <cell r="A269" t="str">
            <v>CUX100</v>
          </cell>
          <cell r="B269" t="str">
            <v>cuivre X</v>
          </cell>
          <cell r="C269" t="str">
            <v>4"</v>
          </cell>
          <cell r="D269" t="str">
            <v>103/1,5</v>
          </cell>
          <cell r="E269">
            <v>105</v>
          </cell>
          <cell r="F269">
            <v>1.5</v>
          </cell>
          <cell r="G269">
            <v>108</v>
          </cell>
          <cell r="H269">
            <v>1.5E-3</v>
          </cell>
        </row>
        <row r="270">
          <cell r="A270" t="str">
            <v>CUX125</v>
          </cell>
          <cell r="B270" t="str">
            <v>cuivre X</v>
          </cell>
          <cell r="C270" t="str">
            <v>5"</v>
          </cell>
          <cell r="D270" t="str">
            <v>130/1,5</v>
          </cell>
          <cell r="E270">
            <v>130</v>
          </cell>
          <cell r="F270">
            <v>1.5</v>
          </cell>
          <cell r="G270">
            <v>133</v>
          </cell>
          <cell r="H270">
            <v>1.5E-3</v>
          </cell>
        </row>
        <row r="271">
          <cell r="A271" t="str">
            <v>CUX150</v>
          </cell>
          <cell r="B271" t="str">
            <v>cuivre X</v>
          </cell>
          <cell r="C271" t="str">
            <v>6"</v>
          </cell>
          <cell r="D271" t="str">
            <v>155/2</v>
          </cell>
          <cell r="E271">
            <v>155</v>
          </cell>
          <cell r="F271">
            <v>2</v>
          </cell>
          <cell r="G271">
            <v>159</v>
          </cell>
          <cell r="H271">
            <v>1.5E-3</v>
          </cell>
        </row>
        <row r="273">
          <cell r="A273" t="str">
            <v>CUZ6</v>
          </cell>
          <cell r="B273" t="str">
            <v>cuivre Z</v>
          </cell>
          <cell r="D273" t="str">
            <v>4/6</v>
          </cell>
          <cell r="E273">
            <v>5</v>
          </cell>
          <cell r="F273">
            <v>0.5</v>
          </cell>
          <cell r="G273">
            <v>6</v>
          </cell>
          <cell r="H273">
            <v>1.5E-3</v>
          </cell>
        </row>
        <row r="274">
          <cell r="A274" t="str">
            <v>CUZ8</v>
          </cell>
          <cell r="B274" t="str">
            <v>cuivre Z</v>
          </cell>
          <cell r="C274" t="str">
            <v>3/8"</v>
          </cell>
          <cell r="D274" t="str">
            <v>6/8</v>
          </cell>
          <cell r="E274">
            <v>7</v>
          </cell>
          <cell r="F274">
            <v>0.5</v>
          </cell>
          <cell r="G274">
            <v>8</v>
          </cell>
          <cell r="H274">
            <v>1.5E-3</v>
          </cell>
        </row>
        <row r="275">
          <cell r="A275" t="str">
            <v>CUZ10</v>
          </cell>
          <cell r="B275" t="str">
            <v>cuivre Z</v>
          </cell>
          <cell r="C275" t="str">
            <v>3/8"</v>
          </cell>
          <cell r="D275" t="str">
            <v>8/10</v>
          </cell>
          <cell r="E275">
            <v>9</v>
          </cell>
          <cell r="F275">
            <v>0.5</v>
          </cell>
          <cell r="G275">
            <v>10</v>
          </cell>
          <cell r="H275">
            <v>1.5E-3</v>
          </cell>
        </row>
        <row r="276">
          <cell r="A276" t="str">
            <v>CUZ12</v>
          </cell>
          <cell r="B276" t="str">
            <v>cuivre Z</v>
          </cell>
          <cell r="C276" t="str">
            <v>5/8"</v>
          </cell>
          <cell r="D276" t="str">
            <v>10/12</v>
          </cell>
          <cell r="E276">
            <v>11</v>
          </cell>
          <cell r="F276">
            <v>0.5</v>
          </cell>
          <cell r="G276">
            <v>12</v>
          </cell>
          <cell r="H276">
            <v>1.5E-3</v>
          </cell>
        </row>
        <row r="277">
          <cell r="A277" t="str">
            <v>CUZ15</v>
          </cell>
          <cell r="B277" t="str">
            <v>cuivre Z</v>
          </cell>
          <cell r="C277" t="str">
            <v>1/2"</v>
          </cell>
          <cell r="D277" t="str">
            <v>14/16</v>
          </cell>
          <cell r="E277">
            <v>14</v>
          </cell>
          <cell r="F277">
            <v>0.5</v>
          </cell>
          <cell r="G277">
            <v>15</v>
          </cell>
          <cell r="H277">
            <v>1.5E-3</v>
          </cell>
        </row>
        <row r="278">
          <cell r="A278" t="str">
            <v>CUZ18</v>
          </cell>
          <cell r="B278" t="str">
            <v>cuivre Z</v>
          </cell>
          <cell r="C278" t="str">
            <v>3/4"</v>
          </cell>
          <cell r="D278" t="str">
            <v>16/18</v>
          </cell>
          <cell r="E278">
            <v>16.8</v>
          </cell>
          <cell r="F278">
            <v>0.6</v>
          </cell>
          <cell r="G278">
            <v>18</v>
          </cell>
          <cell r="H278">
            <v>1.5E-3</v>
          </cell>
        </row>
        <row r="279">
          <cell r="A279" t="str">
            <v>CUZ22</v>
          </cell>
          <cell r="B279" t="str">
            <v>cuivre Z</v>
          </cell>
          <cell r="C279" t="str">
            <v>3/4"</v>
          </cell>
          <cell r="D279" t="str">
            <v>20/22</v>
          </cell>
          <cell r="E279">
            <v>20.8</v>
          </cell>
          <cell r="F279">
            <v>0.6</v>
          </cell>
          <cell r="G279">
            <v>22</v>
          </cell>
          <cell r="H279">
            <v>1.5E-3</v>
          </cell>
        </row>
        <row r="280">
          <cell r="A280" t="str">
            <v>CUZ28</v>
          </cell>
          <cell r="B280" t="str">
            <v>cuivre Z</v>
          </cell>
          <cell r="C280" t="str">
            <v>1"</v>
          </cell>
          <cell r="D280" t="str">
            <v>26/28</v>
          </cell>
          <cell r="E280">
            <v>26.8</v>
          </cell>
          <cell r="F280">
            <v>0.6</v>
          </cell>
          <cell r="G280">
            <v>28</v>
          </cell>
          <cell r="H280">
            <v>1.5E-3</v>
          </cell>
        </row>
        <row r="281">
          <cell r="A281" t="str">
            <v>CUZ35</v>
          </cell>
          <cell r="B281" t="str">
            <v>cuivre Z</v>
          </cell>
          <cell r="C281" t="str">
            <v>1,25"</v>
          </cell>
          <cell r="D281" t="str">
            <v>32/35</v>
          </cell>
          <cell r="E281">
            <v>33.6</v>
          </cell>
          <cell r="F281">
            <v>0.7</v>
          </cell>
          <cell r="G281">
            <v>35</v>
          </cell>
          <cell r="H281">
            <v>1.5E-3</v>
          </cell>
        </row>
        <row r="282">
          <cell r="A282" t="str">
            <v>CUZ42</v>
          </cell>
          <cell r="B282" t="str">
            <v>cuivre Z</v>
          </cell>
          <cell r="C282" t="str">
            <v>1,5"</v>
          </cell>
          <cell r="D282" t="str">
            <v>40/42</v>
          </cell>
          <cell r="E282">
            <v>40.4</v>
          </cell>
          <cell r="F282">
            <v>0.8</v>
          </cell>
          <cell r="G282">
            <v>42</v>
          </cell>
          <cell r="H282">
            <v>1.5E-3</v>
          </cell>
        </row>
        <row r="283">
          <cell r="A283" t="str">
            <v>CUZ54</v>
          </cell>
          <cell r="B283" t="str">
            <v>cuivre Z</v>
          </cell>
          <cell r="C283" t="str">
            <v>2"</v>
          </cell>
          <cell r="D283" t="str">
            <v>52/54</v>
          </cell>
          <cell r="E283">
            <v>52.2</v>
          </cell>
          <cell r="F283">
            <v>0.9</v>
          </cell>
          <cell r="G283">
            <v>54</v>
          </cell>
          <cell r="H283">
            <v>1.5E-3</v>
          </cell>
        </row>
        <row r="284">
          <cell r="A284" t="str">
            <v>CUZ65</v>
          </cell>
          <cell r="B284" t="str">
            <v>cuivre Z</v>
          </cell>
          <cell r="C284" t="str">
            <v>2,5"</v>
          </cell>
          <cell r="D284" t="str">
            <v>64/2</v>
          </cell>
          <cell r="E284">
            <v>64.7</v>
          </cell>
          <cell r="F284">
            <v>1</v>
          </cell>
          <cell r="G284">
            <v>66.7</v>
          </cell>
          <cell r="H284">
            <v>1.5E-3</v>
          </cell>
        </row>
        <row r="285">
          <cell r="A285" t="str">
            <v>CUZ76</v>
          </cell>
          <cell r="B285" t="str">
            <v>cuivre Z</v>
          </cell>
          <cell r="C285" t="str">
            <v>3"</v>
          </cell>
          <cell r="D285" t="str">
            <v>72/2</v>
          </cell>
          <cell r="E285">
            <v>73.7</v>
          </cell>
          <cell r="F285">
            <v>1.2</v>
          </cell>
          <cell r="G285">
            <v>76.099999999999994</v>
          </cell>
          <cell r="H285">
            <v>1.5E-3</v>
          </cell>
        </row>
        <row r="286">
          <cell r="A286" t="str">
            <v>CUZ100</v>
          </cell>
          <cell r="B286" t="str">
            <v>cuivre Z</v>
          </cell>
          <cell r="C286" t="str">
            <v>4"</v>
          </cell>
          <cell r="D286" t="str">
            <v>103/1,5</v>
          </cell>
          <cell r="E286">
            <v>105.6</v>
          </cell>
          <cell r="F286">
            <v>1.2</v>
          </cell>
          <cell r="G286">
            <v>108</v>
          </cell>
          <cell r="H286">
            <v>1.5E-3</v>
          </cell>
        </row>
        <row r="287">
          <cell r="A287" t="str">
            <v>CUZ125</v>
          </cell>
          <cell r="B287" t="str">
            <v>cuivre Z</v>
          </cell>
          <cell r="C287" t="str">
            <v>5"</v>
          </cell>
          <cell r="D287" t="str">
            <v>130/1,5</v>
          </cell>
          <cell r="E287">
            <v>130</v>
          </cell>
          <cell r="F287">
            <v>1.5</v>
          </cell>
          <cell r="G287">
            <v>133</v>
          </cell>
          <cell r="H287">
            <v>1.5E-3</v>
          </cell>
        </row>
        <row r="288">
          <cell r="A288" t="str">
            <v>CUZ150</v>
          </cell>
          <cell r="B288" t="str">
            <v>cuivre Z</v>
          </cell>
          <cell r="C288" t="str">
            <v>6"</v>
          </cell>
          <cell r="D288" t="str">
            <v>155/2</v>
          </cell>
          <cell r="E288">
            <v>156</v>
          </cell>
          <cell r="F288">
            <v>1.5</v>
          </cell>
          <cell r="G288">
            <v>159</v>
          </cell>
          <cell r="H288">
            <v>1.5E-3</v>
          </cell>
        </row>
        <row r="290">
          <cell r="A290" t="str">
            <v>==============</v>
          </cell>
          <cell r="B290" t="str">
            <v>==============</v>
          </cell>
          <cell r="C290" t="str">
            <v>==============</v>
          </cell>
        </row>
        <row r="291">
          <cell r="A291" t="str">
            <v>Tube cuivre</v>
          </cell>
          <cell r="B291" t="str">
            <v>au USA</v>
          </cell>
          <cell r="C291" t="str">
            <v>ASME B31</v>
          </cell>
        </row>
        <row r="292">
          <cell r="A292" t="str">
            <v>==============</v>
          </cell>
          <cell r="B292" t="str">
            <v>==============</v>
          </cell>
          <cell r="C292" t="str">
            <v>==============</v>
          </cell>
        </row>
        <row r="293">
          <cell r="A293" t="str">
            <v>CUK8</v>
          </cell>
          <cell r="B293" t="str">
            <v>cuivre K</v>
          </cell>
          <cell r="C293" t="str">
            <v>1/4"</v>
          </cell>
          <cell r="E293">
            <v>7.746999999999999</v>
          </cell>
          <cell r="F293">
            <v>0.88900000000000001</v>
          </cell>
          <cell r="G293">
            <v>9.5250000000000004</v>
          </cell>
          <cell r="H293">
            <v>1.5E-3</v>
          </cell>
        </row>
        <row r="294">
          <cell r="A294" t="str">
            <v>CUK10</v>
          </cell>
          <cell r="B294" t="str">
            <v>cuivre K</v>
          </cell>
          <cell r="C294" t="str">
            <v>3/8"</v>
          </cell>
          <cell r="E294">
            <v>10.210800000000001</v>
          </cell>
          <cell r="F294">
            <v>1.2445999999999999</v>
          </cell>
          <cell r="G294">
            <v>12.7</v>
          </cell>
          <cell r="H294">
            <v>1.5E-3</v>
          </cell>
        </row>
        <row r="295">
          <cell r="A295" t="str">
            <v>CUK12</v>
          </cell>
          <cell r="B295" t="str">
            <v>cuivre K</v>
          </cell>
          <cell r="C295" t="str">
            <v>5/8"</v>
          </cell>
          <cell r="E295">
            <v>13.3858</v>
          </cell>
          <cell r="F295">
            <v>1.2445999999999999</v>
          </cell>
          <cell r="G295">
            <v>15.875</v>
          </cell>
          <cell r="H295">
            <v>1.5E-3</v>
          </cell>
        </row>
        <row r="296">
          <cell r="A296" t="str">
            <v>CUK15</v>
          </cell>
          <cell r="B296" t="str">
            <v>cuivre K</v>
          </cell>
          <cell r="C296" t="str">
            <v>1/2"</v>
          </cell>
          <cell r="E296">
            <v>16.5608</v>
          </cell>
          <cell r="F296">
            <v>1.2445999999999999</v>
          </cell>
          <cell r="G296">
            <v>19.05</v>
          </cell>
          <cell r="H296">
            <v>1.5E-3</v>
          </cell>
        </row>
        <row r="297">
          <cell r="A297" t="str">
            <v>CUK20</v>
          </cell>
          <cell r="B297" t="str">
            <v>cuivre K</v>
          </cell>
          <cell r="C297" t="str">
            <v>3/4"</v>
          </cell>
          <cell r="E297">
            <v>18.922999999999998</v>
          </cell>
          <cell r="F297">
            <v>0.1651</v>
          </cell>
          <cell r="G297">
            <v>22.225000000000001</v>
          </cell>
          <cell r="H297">
            <v>1.5E-3</v>
          </cell>
        </row>
        <row r="298">
          <cell r="A298" t="str">
            <v>CUK25</v>
          </cell>
          <cell r="B298" t="str">
            <v>cuivre K</v>
          </cell>
          <cell r="C298" t="str">
            <v>1"</v>
          </cell>
          <cell r="E298">
            <v>25.273</v>
          </cell>
          <cell r="F298">
            <v>1.651</v>
          </cell>
          <cell r="G298">
            <v>28.574999999999999</v>
          </cell>
          <cell r="H298">
            <v>1.5E-3</v>
          </cell>
        </row>
        <row r="299">
          <cell r="A299" t="str">
            <v>CUK32</v>
          </cell>
          <cell r="B299" t="str">
            <v>cuivre K</v>
          </cell>
          <cell r="C299" t="str">
            <v>1,25"</v>
          </cell>
          <cell r="E299">
            <v>31.623000000000001</v>
          </cell>
          <cell r="F299">
            <v>1.651</v>
          </cell>
          <cell r="G299">
            <v>34.924999999999997</v>
          </cell>
          <cell r="H299">
            <v>1.5E-3</v>
          </cell>
        </row>
        <row r="300">
          <cell r="A300" t="str">
            <v>CUK40</v>
          </cell>
          <cell r="B300" t="str">
            <v>cuivre K</v>
          </cell>
          <cell r="C300" t="str">
            <v>1,5"</v>
          </cell>
          <cell r="E300">
            <v>37.617400000000004</v>
          </cell>
          <cell r="F300">
            <v>1.8287999999999998</v>
          </cell>
          <cell r="G300">
            <v>41.274999999999999</v>
          </cell>
          <cell r="H300">
            <v>1.5E-3</v>
          </cell>
        </row>
        <row r="301">
          <cell r="A301" t="str">
            <v>CUK50</v>
          </cell>
          <cell r="B301" t="str">
            <v>cuivre K</v>
          </cell>
          <cell r="C301" t="str">
            <v>2"</v>
          </cell>
          <cell r="E301">
            <v>49.758600000000001</v>
          </cell>
          <cell r="F301">
            <v>2.1082000000000001</v>
          </cell>
          <cell r="G301">
            <v>53.975000000000001</v>
          </cell>
          <cell r="H301">
            <v>1.5E-3</v>
          </cell>
        </row>
        <row r="302">
          <cell r="A302" t="str">
            <v>CUK65</v>
          </cell>
          <cell r="B302" t="str">
            <v>cuivre K</v>
          </cell>
          <cell r="C302" t="str">
            <v>2,5"</v>
          </cell>
          <cell r="E302">
            <v>61.848999999999997</v>
          </cell>
          <cell r="F302">
            <v>2.4129999999999998</v>
          </cell>
          <cell r="G302">
            <v>66.674999999999997</v>
          </cell>
          <cell r="H302">
            <v>1.5E-3</v>
          </cell>
        </row>
        <row r="303">
          <cell r="A303" t="str">
            <v>CUK80</v>
          </cell>
          <cell r="B303" t="str">
            <v>cuivre K</v>
          </cell>
          <cell r="C303" t="str">
            <v>3"</v>
          </cell>
          <cell r="E303">
            <v>73.837800000000001</v>
          </cell>
          <cell r="F303">
            <v>2.7685999999999997</v>
          </cell>
          <cell r="G303">
            <v>79.375</v>
          </cell>
          <cell r="H303">
            <v>1.5E-3</v>
          </cell>
        </row>
        <row r="304">
          <cell r="A304" t="str">
            <v>CUK90</v>
          </cell>
          <cell r="B304" t="str">
            <v>cuivre K</v>
          </cell>
          <cell r="C304" t="str">
            <v>3,5"</v>
          </cell>
          <cell r="E304">
            <v>85.978999999999985</v>
          </cell>
          <cell r="F304">
            <v>3.0479999999999996</v>
          </cell>
          <cell r="G304">
            <v>92.075000000000003</v>
          </cell>
          <cell r="H304">
            <v>1.5E-3</v>
          </cell>
        </row>
        <row r="305">
          <cell r="A305" t="str">
            <v>CUK100</v>
          </cell>
          <cell r="B305" t="str">
            <v>cuivre K</v>
          </cell>
          <cell r="C305" t="str">
            <v>4"</v>
          </cell>
          <cell r="E305">
            <v>97.967799999999997</v>
          </cell>
          <cell r="F305">
            <v>3.4036</v>
          </cell>
          <cell r="G305">
            <v>104.77500000000001</v>
          </cell>
          <cell r="H305">
            <v>1.5E-3</v>
          </cell>
        </row>
        <row r="306">
          <cell r="A306" t="str">
            <v>CUK125</v>
          </cell>
          <cell r="B306" t="str">
            <v>cuivre K</v>
          </cell>
          <cell r="C306" t="str">
            <v>5"</v>
          </cell>
          <cell r="E306">
            <v>122.04699999999998</v>
          </cell>
          <cell r="F306">
            <v>4.0640000000000001</v>
          </cell>
          <cell r="G306">
            <v>130.17500000000001</v>
          </cell>
          <cell r="H306">
            <v>1.5E-3</v>
          </cell>
        </row>
        <row r="307">
          <cell r="A307" t="str">
            <v>CUK150</v>
          </cell>
          <cell r="B307" t="str">
            <v>cuivre K</v>
          </cell>
          <cell r="C307" t="str">
            <v>6"</v>
          </cell>
          <cell r="E307">
            <v>145.82139999999998</v>
          </cell>
          <cell r="F307">
            <v>4.8768000000000002</v>
          </cell>
          <cell r="G307">
            <v>155.57499999999999</v>
          </cell>
          <cell r="H307">
            <v>1.5E-3</v>
          </cell>
        </row>
        <row r="308">
          <cell r="A308" t="str">
            <v>CUK200</v>
          </cell>
          <cell r="B308" t="str">
            <v>cuivre K</v>
          </cell>
          <cell r="C308" t="str">
            <v>8"</v>
          </cell>
          <cell r="E308">
            <v>192.60819999999998</v>
          </cell>
          <cell r="F308">
            <v>6.8834</v>
          </cell>
          <cell r="G308">
            <v>206.375</v>
          </cell>
          <cell r="H308">
            <v>1.5E-3</v>
          </cell>
        </row>
        <row r="310">
          <cell r="A310" t="str">
            <v>CUL8</v>
          </cell>
          <cell r="B310" t="str">
            <v>cuivre L</v>
          </cell>
          <cell r="C310" t="str">
            <v>1/4"</v>
          </cell>
          <cell r="E310">
            <v>8.0009999999999994</v>
          </cell>
          <cell r="F310">
            <v>0.7619999999999999</v>
          </cell>
          <cell r="G310">
            <v>9.5250000000000004</v>
          </cell>
          <cell r="H310">
            <v>1.5E-3</v>
          </cell>
        </row>
        <row r="311">
          <cell r="A311" t="str">
            <v>CUL10</v>
          </cell>
          <cell r="B311" t="str">
            <v>cuivre L</v>
          </cell>
          <cell r="C311" t="str">
            <v>3/8"</v>
          </cell>
          <cell r="E311">
            <v>10.921999999999999</v>
          </cell>
          <cell r="F311">
            <v>0.88900000000000001</v>
          </cell>
          <cell r="G311">
            <v>12.7</v>
          </cell>
          <cell r="H311">
            <v>1.5E-3</v>
          </cell>
        </row>
        <row r="312">
          <cell r="A312" t="str">
            <v>CUL12</v>
          </cell>
          <cell r="B312" t="str">
            <v>cuivre L</v>
          </cell>
          <cell r="C312" t="str">
            <v>5/8"</v>
          </cell>
          <cell r="E312">
            <v>13.843</v>
          </cell>
          <cell r="F312">
            <v>1.016</v>
          </cell>
          <cell r="G312">
            <v>15.875</v>
          </cell>
          <cell r="H312">
            <v>1.5E-3</v>
          </cell>
        </row>
        <row r="313">
          <cell r="A313" t="str">
            <v>CUL15</v>
          </cell>
          <cell r="B313" t="str">
            <v>cuivre L</v>
          </cell>
          <cell r="C313" t="str">
            <v>1/2"</v>
          </cell>
          <cell r="E313">
            <v>16.916399999999999</v>
          </cell>
          <cell r="F313">
            <v>1.0668</v>
          </cell>
          <cell r="G313">
            <v>19.05</v>
          </cell>
          <cell r="H313">
            <v>1.5E-3</v>
          </cell>
        </row>
        <row r="314">
          <cell r="A314" t="str">
            <v>CUL20</v>
          </cell>
          <cell r="B314" t="str">
            <v>cuivre L</v>
          </cell>
          <cell r="C314" t="str">
            <v>3/4"</v>
          </cell>
          <cell r="E314">
            <v>19.939</v>
          </cell>
          <cell r="F314">
            <v>1.1429999999999998</v>
          </cell>
          <cell r="G314">
            <v>22.225000000000001</v>
          </cell>
          <cell r="H314">
            <v>1.5E-3</v>
          </cell>
        </row>
        <row r="315">
          <cell r="A315" t="str">
            <v>CUL25</v>
          </cell>
          <cell r="B315" t="str">
            <v>cuivre L</v>
          </cell>
          <cell r="C315" t="str">
            <v>1"</v>
          </cell>
          <cell r="E315">
            <v>26.035</v>
          </cell>
          <cell r="F315">
            <v>1.27</v>
          </cell>
          <cell r="G315">
            <v>28.574999999999999</v>
          </cell>
          <cell r="H315">
            <v>1.5E-3</v>
          </cell>
        </row>
        <row r="316">
          <cell r="A316" t="str">
            <v>CUL32</v>
          </cell>
          <cell r="B316" t="str">
            <v>cuivre L</v>
          </cell>
          <cell r="C316" t="str">
            <v>1,25"</v>
          </cell>
          <cell r="E316">
            <v>32.130999999999993</v>
          </cell>
          <cell r="F316">
            <v>1.397</v>
          </cell>
          <cell r="G316">
            <v>34.924999999999997</v>
          </cell>
          <cell r="H316">
            <v>1.5E-3</v>
          </cell>
        </row>
        <row r="317">
          <cell r="A317" t="str">
            <v>CUL40</v>
          </cell>
          <cell r="B317" t="str">
            <v>cuivre L</v>
          </cell>
          <cell r="C317" t="str">
            <v>1,5"</v>
          </cell>
          <cell r="E317">
            <v>38.226999999999997</v>
          </cell>
          <cell r="F317">
            <v>1.5239999999999998</v>
          </cell>
          <cell r="G317">
            <v>41.274999999999999</v>
          </cell>
          <cell r="H317">
            <v>1.5E-3</v>
          </cell>
        </row>
        <row r="318">
          <cell r="A318" t="str">
            <v>CUL50</v>
          </cell>
          <cell r="B318" t="str">
            <v>cuivre L</v>
          </cell>
          <cell r="C318" t="str">
            <v>2"</v>
          </cell>
          <cell r="E318">
            <v>50.418999999999997</v>
          </cell>
          <cell r="F318">
            <v>1.778</v>
          </cell>
          <cell r="G318">
            <v>53.975000000000001</v>
          </cell>
          <cell r="H318">
            <v>1.5E-3</v>
          </cell>
        </row>
        <row r="319">
          <cell r="A319" t="str">
            <v>CUL65</v>
          </cell>
          <cell r="B319" t="str">
            <v>cuivre L</v>
          </cell>
          <cell r="C319" t="str">
            <v>2,5"</v>
          </cell>
          <cell r="E319">
            <v>62.61099999999999</v>
          </cell>
          <cell r="F319">
            <v>2.032</v>
          </cell>
          <cell r="G319">
            <v>66.674999999999997</v>
          </cell>
          <cell r="H319">
            <v>1.5E-3</v>
          </cell>
        </row>
        <row r="320">
          <cell r="A320" t="str">
            <v>CUL80</v>
          </cell>
          <cell r="B320" t="str">
            <v>cuivre L</v>
          </cell>
          <cell r="C320" t="str">
            <v>3"</v>
          </cell>
          <cell r="E320">
            <v>74.802999999999997</v>
          </cell>
          <cell r="F320">
            <v>2.2859999999999996</v>
          </cell>
          <cell r="G320">
            <v>79.375</v>
          </cell>
          <cell r="H320">
            <v>1.5E-3</v>
          </cell>
        </row>
        <row r="321">
          <cell r="A321" t="str">
            <v>CUL90</v>
          </cell>
          <cell r="B321" t="str">
            <v>cuivre L</v>
          </cell>
          <cell r="C321" t="str">
            <v>3,5"</v>
          </cell>
          <cell r="E321">
            <v>86.995000000000005</v>
          </cell>
          <cell r="F321">
            <v>2.54</v>
          </cell>
          <cell r="G321">
            <v>92.075000000000003</v>
          </cell>
          <cell r="H321">
            <v>1.5E-3</v>
          </cell>
        </row>
        <row r="322">
          <cell r="A322" t="str">
            <v>CUL100</v>
          </cell>
          <cell r="B322" t="str">
            <v>cuivre L</v>
          </cell>
          <cell r="C322" t="str">
            <v>4"</v>
          </cell>
          <cell r="E322">
            <v>99.186999999999983</v>
          </cell>
          <cell r="F322">
            <v>2.794</v>
          </cell>
          <cell r="G322">
            <v>104.77500000000001</v>
          </cell>
          <cell r="H322">
            <v>1.5E-3</v>
          </cell>
        </row>
        <row r="323">
          <cell r="A323" t="str">
            <v>CUL125</v>
          </cell>
          <cell r="B323" t="str">
            <v>cuivre L</v>
          </cell>
          <cell r="C323" t="str">
            <v>5"</v>
          </cell>
          <cell r="E323">
            <v>123.825</v>
          </cell>
          <cell r="F323">
            <v>3.1749999999999998</v>
          </cell>
          <cell r="G323">
            <v>130.17500000000001</v>
          </cell>
          <cell r="H323">
            <v>1.5E-3</v>
          </cell>
        </row>
        <row r="324">
          <cell r="A324" t="str">
            <v>CUL150</v>
          </cell>
          <cell r="B324" t="str">
            <v>cuivre L</v>
          </cell>
          <cell r="C324" t="str">
            <v>6"</v>
          </cell>
          <cell r="E324">
            <v>148.69159999999999</v>
          </cell>
          <cell r="F324">
            <v>3.556</v>
          </cell>
          <cell r="G324">
            <v>155.57499999999999</v>
          </cell>
          <cell r="H324">
            <v>1.5E-3</v>
          </cell>
        </row>
        <row r="325">
          <cell r="A325" t="str">
            <v>CUL200</v>
          </cell>
          <cell r="B325" t="str">
            <v>cuivre L</v>
          </cell>
          <cell r="C325" t="str">
            <v>8"</v>
          </cell>
          <cell r="E325">
            <v>196.215</v>
          </cell>
          <cell r="F325">
            <v>5.08</v>
          </cell>
          <cell r="G325">
            <v>206.375</v>
          </cell>
          <cell r="H325">
            <v>1.5E-3</v>
          </cell>
        </row>
        <row r="327">
          <cell r="A327" t="str">
            <v>CUM8</v>
          </cell>
          <cell r="B327" t="str">
            <v>cuivre M</v>
          </cell>
          <cell r="C327" t="str">
            <v>3/8"</v>
          </cell>
          <cell r="E327">
            <v>11.43</v>
          </cell>
          <cell r="F327">
            <v>0.63500000000000001</v>
          </cell>
          <cell r="G327">
            <v>12.7</v>
          </cell>
          <cell r="H327">
            <v>1.5E-3</v>
          </cell>
        </row>
        <row r="328">
          <cell r="A328" t="str">
            <v>CUM10</v>
          </cell>
          <cell r="B328" t="str">
            <v>cuivre M</v>
          </cell>
          <cell r="C328" t="str">
            <v>1/2"</v>
          </cell>
          <cell r="E328">
            <v>14.452599999999999</v>
          </cell>
          <cell r="F328">
            <v>0.71119999999999994</v>
          </cell>
          <cell r="G328">
            <v>15.875</v>
          </cell>
          <cell r="H328">
            <v>1.5E-3</v>
          </cell>
        </row>
        <row r="329">
          <cell r="A329" t="str">
            <v>CUM12</v>
          </cell>
          <cell r="B329" t="str">
            <v>cuivre M</v>
          </cell>
          <cell r="C329" t="str">
            <v>3/4"</v>
          </cell>
          <cell r="E329">
            <v>20.599399999999999</v>
          </cell>
          <cell r="F329">
            <v>0.81279999999999997</v>
          </cell>
          <cell r="G329">
            <v>22.225000000000001</v>
          </cell>
          <cell r="H329">
            <v>1.5E-3</v>
          </cell>
        </row>
        <row r="330">
          <cell r="A330" t="str">
            <v>CUM15</v>
          </cell>
          <cell r="B330" t="str">
            <v>cuivre M</v>
          </cell>
          <cell r="C330" t="str">
            <v>1"</v>
          </cell>
          <cell r="E330">
            <v>26.796999999999997</v>
          </cell>
          <cell r="F330">
            <v>0.88900000000000001</v>
          </cell>
          <cell r="G330">
            <v>28.574999999999999</v>
          </cell>
          <cell r="H330">
            <v>1.5E-3</v>
          </cell>
        </row>
        <row r="331">
          <cell r="A331" t="str">
            <v>CUM20</v>
          </cell>
          <cell r="B331" t="str">
            <v>cuivre M</v>
          </cell>
          <cell r="C331" t="str">
            <v>1,25"</v>
          </cell>
          <cell r="E331">
            <v>32.791399999999996</v>
          </cell>
          <cell r="F331">
            <v>1.0668</v>
          </cell>
          <cell r="G331">
            <v>34.924999999999997</v>
          </cell>
          <cell r="H331">
            <v>1.5E-3</v>
          </cell>
        </row>
        <row r="332">
          <cell r="A332" t="str">
            <v>CUM25</v>
          </cell>
          <cell r="B332" t="str">
            <v>cuivre M</v>
          </cell>
          <cell r="C332" t="str">
            <v>1,5"</v>
          </cell>
          <cell r="E332">
            <v>38.785799999999995</v>
          </cell>
          <cell r="F332">
            <v>1.2445999999999999</v>
          </cell>
          <cell r="G332">
            <v>41.274999999999999</v>
          </cell>
          <cell r="H332">
            <v>1.5E-3</v>
          </cell>
        </row>
        <row r="333">
          <cell r="A333" t="str">
            <v>CUM32</v>
          </cell>
          <cell r="B333" t="str">
            <v>cuivre M</v>
          </cell>
          <cell r="C333" t="str">
            <v>2"</v>
          </cell>
          <cell r="E333">
            <v>51.028599999999997</v>
          </cell>
          <cell r="F333">
            <v>1.4732000000000001</v>
          </cell>
          <cell r="G333">
            <v>53.975000000000001</v>
          </cell>
          <cell r="H333">
            <v>1.5E-3</v>
          </cell>
        </row>
        <row r="334">
          <cell r="A334" t="str">
            <v>CUM40</v>
          </cell>
          <cell r="B334" t="str">
            <v>cuivre M</v>
          </cell>
          <cell r="C334" t="str">
            <v>2,5"</v>
          </cell>
          <cell r="E334">
            <v>63.372999999999998</v>
          </cell>
          <cell r="F334">
            <v>1.651</v>
          </cell>
          <cell r="G334">
            <v>66.674999999999997</v>
          </cell>
          <cell r="H334">
            <v>1.5E-3</v>
          </cell>
        </row>
        <row r="335">
          <cell r="A335" t="str">
            <v>CUM50</v>
          </cell>
          <cell r="B335" t="str">
            <v>cuivre M</v>
          </cell>
          <cell r="C335" t="str">
            <v>3"</v>
          </cell>
          <cell r="E335">
            <v>75.717399999999998</v>
          </cell>
          <cell r="F335">
            <v>1.8287999999999998</v>
          </cell>
          <cell r="G335">
            <v>79.375</v>
          </cell>
          <cell r="H335">
            <v>1.5E-3</v>
          </cell>
        </row>
        <row r="336">
          <cell r="A336" t="str">
            <v>CUM65</v>
          </cell>
          <cell r="B336" t="str">
            <v>cuivre M</v>
          </cell>
          <cell r="C336" t="str">
            <v>3,5"</v>
          </cell>
          <cell r="E336">
            <v>87.858599999999996</v>
          </cell>
          <cell r="F336">
            <v>2.1082000000000001</v>
          </cell>
          <cell r="G336">
            <v>92.075000000000003</v>
          </cell>
          <cell r="H336">
            <v>1.5E-3</v>
          </cell>
        </row>
        <row r="337">
          <cell r="A337" t="str">
            <v>CUM80</v>
          </cell>
          <cell r="B337" t="str">
            <v>cuivre M</v>
          </cell>
          <cell r="C337" t="str">
            <v>4"</v>
          </cell>
          <cell r="E337">
            <v>99.948999999999998</v>
          </cell>
          <cell r="F337">
            <v>2.4129999999999998</v>
          </cell>
          <cell r="G337">
            <v>104.77500000000001</v>
          </cell>
          <cell r="H337">
            <v>1.5E-3</v>
          </cell>
        </row>
        <row r="338">
          <cell r="A338" t="str">
            <v>CUM90</v>
          </cell>
          <cell r="B338" t="str">
            <v>cuivre M</v>
          </cell>
          <cell r="C338" t="str">
            <v>5"</v>
          </cell>
          <cell r="E338">
            <v>124.6378</v>
          </cell>
          <cell r="F338">
            <v>2.7685999999999997</v>
          </cell>
          <cell r="G338">
            <v>130.17500000000001</v>
          </cell>
          <cell r="H338">
            <v>1.5E-3</v>
          </cell>
        </row>
        <row r="339">
          <cell r="A339" t="str">
            <v>CUM100</v>
          </cell>
          <cell r="B339" t="str">
            <v>cuivre M</v>
          </cell>
          <cell r="C339" t="str">
            <v>6"</v>
          </cell>
          <cell r="E339">
            <v>149.37739999999999</v>
          </cell>
          <cell r="F339">
            <v>3.0987999999999998</v>
          </cell>
          <cell r="G339">
            <v>155.57499999999999</v>
          </cell>
          <cell r="H339">
            <v>1.5E-3</v>
          </cell>
        </row>
        <row r="340">
          <cell r="A340" t="str">
            <v>CUM125</v>
          </cell>
          <cell r="B340" t="str">
            <v>cuivre M</v>
          </cell>
          <cell r="C340" t="str">
            <v>8"</v>
          </cell>
          <cell r="E340">
            <v>197.739</v>
          </cell>
          <cell r="F340">
            <v>4.3180000000000005</v>
          </cell>
          <cell r="G340">
            <v>206.375</v>
          </cell>
          <cell r="H340">
            <v>1.5E-3</v>
          </cell>
        </row>
        <row r="341">
          <cell r="A341" t="str">
            <v>CUM150</v>
          </cell>
          <cell r="B341" t="str">
            <v>cuivre M</v>
          </cell>
          <cell r="C341" t="str">
            <v>10"</v>
          </cell>
          <cell r="E341">
            <v>246.40539999999999</v>
          </cell>
          <cell r="F341">
            <v>5.3847999999999994</v>
          </cell>
          <cell r="G341">
            <v>257.17500000000001</v>
          </cell>
          <cell r="H341">
            <v>1.5E-3</v>
          </cell>
        </row>
        <row r="342">
          <cell r="A342" t="str">
            <v>CUM200</v>
          </cell>
          <cell r="B342" t="str">
            <v>cuivre M</v>
          </cell>
          <cell r="C342" t="str">
            <v>12"</v>
          </cell>
          <cell r="E342">
            <v>295.0718</v>
          </cell>
          <cell r="F342">
            <v>6.4516</v>
          </cell>
          <cell r="G342">
            <v>307.97500000000002</v>
          </cell>
          <cell r="H342">
            <v>1.5E-3</v>
          </cell>
        </row>
        <row r="344">
          <cell r="A344" t="str">
            <v>==============</v>
          </cell>
          <cell r="B344" t="str">
            <v>==============</v>
          </cell>
          <cell r="C344" t="str">
            <v>==============</v>
          </cell>
        </row>
        <row r="345">
          <cell r="A345" t="str">
            <v>Tube fonte</v>
          </cell>
          <cell r="B345" t="str">
            <v>Ductile</v>
          </cell>
        </row>
        <row r="346">
          <cell r="A346" t="str">
            <v>==============</v>
          </cell>
          <cell r="B346" t="str">
            <v>==============</v>
          </cell>
          <cell r="C346" t="str">
            <v>==============</v>
          </cell>
        </row>
        <row r="347">
          <cell r="A347" t="str">
            <v>Tube fonte</v>
          </cell>
          <cell r="B347" t="str">
            <v>standard</v>
          </cell>
          <cell r="C347" t="str">
            <v>à joint</v>
          </cell>
        </row>
        <row r="348">
          <cell r="A348" t="str">
            <v>F60</v>
          </cell>
          <cell r="B348" t="str">
            <v>fonte ductile</v>
          </cell>
          <cell r="C348" t="str">
            <v>2"</v>
          </cell>
          <cell r="D348">
            <v>60</v>
          </cell>
          <cell r="E348">
            <v>67.400000000000006</v>
          </cell>
          <cell r="F348">
            <v>4.8</v>
          </cell>
          <cell r="G348">
            <v>77</v>
          </cell>
          <cell r="H348">
            <v>0.13</v>
          </cell>
        </row>
        <row r="349">
          <cell r="A349" t="str">
            <v>F80</v>
          </cell>
          <cell r="B349" t="str">
            <v>fonte ductile</v>
          </cell>
          <cell r="C349" t="str">
            <v>3 1/2"</v>
          </cell>
          <cell r="D349">
            <v>80</v>
          </cell>
          <cell r="E349">
            <v>88.4</v>
          </cell>
          <cell r="F349">
            <v>4.8</v>
          </cell>
          <cell r="G349">
            <v>98</v>
          </cell>
          <cell r="H349">
            <v>0.13</v>
          </cell>
        </row>
        <row r="350">
          <cell r="A350" t="str">
            <v>F100</v>
          </cell>
          <cell r="B350" t="str">
            <v>fonte ductile</v>
          </cell>
          <cell r="C350" t="str">
            <v>4"</v>
          </cell>
          <cell r="D350">
            <v>100</v>
          </cell>
          <cell r="E350">
            <v>108.4</v>
          </cell>
          <cell r="F350">
            <v>4.8</v>
          </cell>
          <cell r="G350">
            <v>118</v>
          </cell>
          <cell r="H350">
            <v>0.13</v>
          </cell>
        </row>
        <row r="351">
          <cell r="A351" t="str">
            <v>F125</v>
          </cell>
          <cell r="B351" t="str">
            <v>fonte ductile</v>
          </cell>
          <cell r="C351" t="str">
            <v>5"</v>
          </cell>
          <cell r="D351">
            <v>125</v>
          </cell>
          <cell r="E351">
            <v>134.4</v>
          </cell>
          <cell r="F351">
            <v>4.8</v>
          </cell>
          <cell r="G351">
            <v>144</v>
          </cell>
          <cell r="H351">
            <v>0.13</v>
          </cell>
        </row>
        <row r="352">
          <cell r="A352" t="str">
            <v>F150</v>
          </cell>
          <cell r="B352" t="str">
            <v>fonte ductile</v>
          </cell>
          <cell r="C352" t="str">
            <v>6"</v>
          </cell>
          <cell r="D352">
            <v>150</v>
          </cell>
          <cell r="E352">
            <v>160</v>
          </cell>
          <cell r="F352">
            <v>5</v>
          </cell>
          <cell r="G352">
            <v>170</v>
          </cell>
          <cell r="H352">
            <v>0.13</v>
          </cell>
        </row>
        <row r="353">
          <cell r="A353" t="str">
            <v>F200</v>
          </cell>
          <cell r="B353" t="str">
            <v>fonte ductile</v>
          </cell>
          <cell r="C353" t="str">
            <v>8"</v>
          </cell>
          <cell r="D353">
            <v>200</v>
          </cell>
          <cell r="E353">
            <v>211.2</v>
          </cell>
          <cell r="F353">
            <v>5.4</v>
          </cell>
          <cell r="G353">
            <v>222</v>
          </cell>
          <cell r="H353">
            <v>0.13</v>
          </cell>
        </row>
        <row r="354">
          <cell r="A354" t="str">
            <v>F250</v>
          </cell>
          <cell r="B354" t="str">
            <v>fonte ductile</v>
          </cell>
          <cell r="C354" t="str">
            <v>10"</v>
          </cell>
          <cell r="D354">
            <v>250</v>
          </cell>
          <cell r="E354">
            <v>262.39999999999998</v>
          </cell>
          <cell r="F354">
            <v>5.8</v>
          </cell>
          <cell r="G354">
            <v>274</v>
          </cell>
          <cell r="H354">
            <v>0.13</v>
          </cell>
        </row>
        <row r="355">
          <cell r="A355" t="str">
            <v>F300</v>
          </cell>
          <cell r="B355" t="str">
            <v>fonte ductile</v>
          </cell>
          <cell r="C355" t="str">
            <v>12"</v>
          </cell>
          <cell r="D355">
            <v>300</v>
          </cell>
          <cell r="E355">
            <v>313.60000000000002</v>
          </cell>
          <cell r="F355">
            <v>6.2</v>
          </cell>
          <cell r="G355">
            <v>326</v>
          </cell>
          <cell r="H355">
            <v>0.13</v>
          </cell>
        </row>
        <row r="356">
          <cell r="A356" t="str">
            <v>F350</v>
          </cell>
          <cell r="B356" t="str">
            <v>fonte ductile</v>
          </cell>
          <cell r="C356" t="str">
            <v>14"</v>
          </cell>
          <cell r="D356">
            <v>350</v>
          </cell>
          <cell r="E356">
            <v>362.6</v>
          </cell>
          <cell r="F356">
            <v>7.7</v>
          </cell>
          <cell r="G356">
            <v>378</v>
          </cell>
          <cell r="H356">
            <v>0.13</v>
          </cell>
        </row>
        <row r="357">
          <cell r="A357" t="str">
            <v>F400</v>
          </cell>
          <cell r="B357" t="str">
            <v>fonte ductile</v>
          </cell>
          <cell r="C357" t="str">
            <v>16"</v>
          </cell>
          <cell r="D357">
            <v>400</v>
          </cell>
          <cell r="E357">
            <v>412.8</v>
          </cell>
          <cell r="F357">
            <v>8.1</v>
          </cell>
          <cell r="G357">
            <v>429</v>
          </cell>
          <cell r="H357">
            <v>0.13</v>
          </cell>
        </row>
        <row r="358">
          <cell r="A358" t="str">
            <v>F450</v>
          </cell>
          <cell r="B358" t="str">
            <v>fonte ductile</v>
          </cell>
          <cell r="C358" t="str">
            <v>18"</v>
          </cell>
          <cell r="D358">
            <v>450</v>
          </cell>
          <cell r="E358">
            <v>462.8</v>
          </cell>
          <cell r="F358">
            <v>8.6</v>
          </cell>
          <cell r="G358">
            <v>480</v>
          </cell>
          <cell r="H358">
            <v>0.13</v>
          </cell>
        </row>
        <row r="359">
          <cell r="A359" t="str">
            <v>F500</v>
          </cell>
          <cell r="B359" t="str">
            <v>fonte ductile</v>
          </cell>
          <cell r="C359" t="str">
            <v>20"</v>
          </cell>
          <cell r="D359">
            <v>500</v>
          </cell>
          <cell r="E359">
            <v>514</v>
          </cell>
          <cell r="F359">
            <v>9</v>
          </cell>
          <cell r="G359">
            <v>532</v>
          </cell>
          <cell r="H359">
            <v>0.13</v>
          </cell>
        </row>
        <row r="360">
          <cell r="A360" t="str">
            <v>F600</v>
          </cell>
          <cell r="B360" t="str">
            <v>fonte ductile</v>
          </cell>
          <cell r="C360" t="str">
            <v>24"</v>
          </cell>
          <cell r="D360">
            <v>600</v>
          </cell>
          <cell r="E360">
            <v>615.20000000000005</v>
          </cell>
          <cell r="F360">
            <v>9.9</v>
          </cell>
          <cell r="G360">
            <v>635</v>
          </cell>
          <cell r="H360">
            <v>0.13</v>
          </cell>
        </row>
        <row r="361">
          <cell r="A361" t="str">
            <v>F700</v>
          </cell>
          <cell r="B361" t="str">
            <v>fonte ductile</v>
          </cell>
          <cell r="C361" t="str">
            <v>28"</v>
          </cell>
          <cell r="D361">
            <v>700</v>
          </cell>
          <cell r="E361">
            <v>716.4</v>
          </cell>
          <cell r="F361">
            <v>10.8</v>
          </cell>
          <cell r="G361">
            <v>738</v>
          </cell>
          <cell r="H361">
            <v>0.13</v>
          </cell>
        </row>
        <row r="362">
          <cell r="A362" t="str">
            <v>F800</v>
          </cell>
          <cell r="B362" t="str">
            <v>fonte ductile</v>
          </cell>
          <cell r="C362" t="str">
            <v>32"</v>
          </cell>
          <cell r="D362">
            <v>800</v>
          </cell>
          <cell r="E362">
            <v>818.6</v>
          </cell>
          <cell r="F362">
            <v>11.7</v>
          </cell>
          <cell r="G362">
            <v>842</v>
          </cell>
          <cell r="H362">
            <v>0.13</v>
          </cell>
        </row>
        <row r="363">
          <cell r="A363" t="str">
            <v>F900</v>
          </cell>
          <cell r="B363" t="str">
            <v>fonte ductile</v>
          </cell>
          <cell r="C363" t="str">
            <v>36"</v>
          </cell>
          <cell r="D363">
            <v>900</v>
          </cell>
          <cell r="E363">
            <v>919.8</v>
          </cell>
          <cell r="F363">
            <v>12.6</v>
          </cell>
          <cell r="G363">
            <v>945</v>
          </cell>
          <cell r="H363">
            <v>0.13</v>
          </cell>
        </row>
        <row r="364">
          <cell r="A364" t="str">
            <v>F1000</v>
          </cell>
          <cell r="B364" t="str">
            <v>fonte ductile</v>
          </cell>
          <cell r="C364" t="str">
            <v>40"</v>
          </cell>
          <cell r="D364">
            <v>1000</v>
          </cell>
          <cell r="E364">
            <v>1021</v>
          </cell>
          <cell r="F364">
            <v>13.5</v>
          </cell>
          <cell r="G364">
            <v>1048</v>
          </cell>
          <cell r="H364">
            <v>0.13</v>
          </cell>
        </row>
        <row r="365">
          <cell r="A365" t="str">
            <v>F1100</v>
          </cell>
          <cell r="B365" t="str">
            <v>fonte ductile</v>
          </cell>
          <cell r="C365" t="str">
            <v>44"</v>
          </cell>
          <cell r="D365">
            <v>1100</v>
          </cell>
          <cell r="E365">
            <v>1122.2</v>
          </cell>
          <cell r="F365">
            <v>14.4</v>
          </cell>
          <cell r="G365">
            <v>1151</v>
          </cell>
          <cell r="H365">
            <v>0.13</v>
          </cell>
        </row>
        <row r="366">
          <cell r="A366" t="str">
            <v>F1200</v>
          </cell>
          <cell r="B366" t="str">
            <v>fonte ductile</v>
          </cell>
          <cell r="C366" t="str">
            <v>48"</v>
          </cell>
          <cell r="D366">
            <v>1200</v>
          </cell>
          <cell r="E366">
            <v>1224.4000000000001</v>
          </cell>
          <cell r="F366">
            <v>15.3</v>
          </cell>
          <cell r="G366">
            <v>1255</v>
          </cell>
          <cell r="H366">
            <v>0.13</v>
          </cell>
        </row>
        <row r="367">
          <cell r="A367" t="str">
            <v>F1400</v>
          </cell>
          <cell r="B367" t="str">
            <v>fonte ductile</v>
          </cell>
          <cell r="C367" t="str">
            <v>56"</v>
          </cell>
          <cell r="D367">
            <v>1400</v>
          </cell>
          <cell r="E367">
            <v>1427.8</v>
          </cell>
          <cell r="F367">
            <v>17.100000000000001</v>
          </cell>
          <cell r="G367">
            <v>1462</v>
          </cell>
          <cell r="H367">
            <v>0.13</v>
          </cell>
        </row>
        <row r="368">
          <cell r="A368" t="str">
            <v>F1500</v>
          </cell>
          <cell r="B368" t="str">
            <v>fonte ductile</v>
          </cell>
          <cell r="C368" t="str">
            <v>60"</v>
          </cell>
          <cell r="D368">
            <v>1500</v>
          </cell>
          <cell r="E368">
            <v>1529</v>
          </cell>
          <cell r="F368">
            <v>18</v>
          </cell>
          <cell r="G368">
            <v>1565</v>
          </cell>
          <cell r="H368">
            <v>0.13</v>
          </cell>
        </row>
        <row r="369">
          <cell r="A369" t="str">
            <v>F1600</v>
          </cell>
          <cell r="B369" t="str">
            <v>fonte ductile</v>
          </cell>
          <cell r="C369" t="str">
            <v>64"</v>
          </cell>
          <cell r="D369">
            <v>1600</v>
          </cell>
          <cell r="E369">
            <v>1630.2</v>
          </cell>
          <cell r="F369">
            <v>18.899999999999999</v>
          </cell>
          <cell r="G369">
            <v>1668</v>
          </cell>
          <cell r="H369">
            <v>0.13</v>
          </cell>
        </row>
        <row r="370">
          <cell r="A370" t="str">
            <v>F1800</v>
          </cell>
          <cell r="B370" t="str">
            <v>fonte ductile</v>
          </cell>
          <cell r="C370" t="str">
            <v>72"</v>
          </cell>
          <cell r="D370">
            <v>1800</v>
          </cell>
          <cell r="E370">
            <v>1833.6</v>
          </cell>
          <cell r="F370">
            <v>20.7</v>
          </cell>
          <cell r="G370">
            <v>1875</v>
          </cell>
          <cell r="H370">
            <v>0.13</v>
          </cell>
        </row>
        <row r="371">
          <cell r="A371" t="str">
            <v>F2000</v>
          </cell>
          <cell r="B371" t="str">
            <v>fonte ductile</v>
          </cell>
          <cell r="C371" t="str">
            <v>80"</v>
          </cell>
          <cell r="D371">
            <v>2000</v>
          </cell>
          <cell r="E371">
            <v>2037</v>
          </cell>
          <cell r="F371">
            <v>22.5</v>
          </cell>
          <cell r="G371">
            <v>2082</v>
          </cell>
          <cell r="H371">
            <v>0.13</v>
          </cell>
        </row>
        <row r="373">
          <cell r="A373" t="str">
            <v>Tube fonte</v>
          </cell>
          <cell r="B373" t="str">
            <v>haute pression</v>
          </cell>
          <cell r="C373" t="str">
            <v>à joint</v>
          </cell>
        </row>
        <row r="374">
          <cell r="A374" t="str">
            <v>FP80</v>
          </cell>
          <cell r="B374" t="str">
            <v>fonte ductile</v>
          </cell>
          <cell r="C374" t="str">
            <v>3 1/2"</v>
          </cell>
          <cell r="D374">
            <v>80</v>
          </cell>
          <cell r="E374">
            <v>86</v>
          </cell>
          <cell r="F374">
            <v>6</v>
          </cell>
          <cell r="G374">
            <v>98</v>
          </cell>
          <cell r="H374">
            <v>0.13</v>
          </cell>
        </row>
        <row r="375">
          <cell r="A375" t="str">
            <v>FP100</v>
          </cell>
          <cell r="B375" t="str">
            <v>fonte ductile</v>
          </cell>
          <cell r="C375" t="str">
            <v>4"</v>
          </cell>
          <cell r="D375">
            <v>100</v>
          </cell>
          <cell r="E375">
            <v>103.6</v>
          </cell>
          <cell r="F375">
            <v>7.2</v>
          </cell>
          <cell r="G375">
            <v>118</v>
          </cell>
          <cell r="H375">
            <v>0.13</v>
          </cell>
        </row>
        <row r="376">
          <cell r="A376" t="str">
            <v>FP125</v>
          </cell>
          <cell r="B376" t="str">
            <v>fonte ductile</v>
          </cell>
          <cell r="C376" t="str">
            <v>5"</v>
          </cell>
          <cell r="D376">
            <v>125</v>
          </cell>
          <cell r="E376">
            <v>129</v>
          </cell>
          <cell r="F376">
            <v>7.5</v>
          </cell>
          <cell r="G376">
            <v>144</v>
          </cell>
          <cell r="H376">
            <v>0.13</v>
          </cell>
        </row>
        <row r="377">
          <cell r="A377" t="str">
            <v>FP150</v>
          </cell>
          <cell r="B377" t="str">
            <v>fonte ductile</v>
          </cell>
          <cell r="C377" t="str">
            <v>6"</v>
          </cell>
          <cell r="D377">
            <v>150</v>
          </cell>
          <cell r="E377">
            <v>154.4</v>
          </cell>
          <cell r="F377">
            <v>7.8</v>
          </cell>
          <cell r="G377">
            <v>170</v>
          </cell>
          <cell r="H377">
            <v>0.13</v>
          </cell>
        </row>
        <row r="378">
          <cell r="A378" t="str">
            <v>FP200</v>
          </cell>
          <cell r="B378" t="str">
            <v>fonte ductile</v>
          </cell>
          <cell r="C378" t="str">
            <v>8"</v>
          </cell>
          <cell r="D378">
            <v>200</v>
          </cell>
          <cell r="E378">
            <v>205.2</v>
          </cell>
          <cell r="F378">
            <v>8.4</v>
          </cell>
          <cell r="G378">
            <v>222</v>
          </cell>
          <cell r="H378">
            <v>0.13</v>
          </cell>
        </row>
        <row r="379">
          <cell r="A379" t="str">
            <v>FP250</v>
          </cell>
          <cell r="B379" t="str">
            <v>fonte ductile</v>
          </cell>
          <cell r="C379" t="str">
            <v>10"</v>
          </cell>
          <cell r="D379">
            <v>250</v>
          </cell>
          <cell r="E379">
            <v>253</v>
          </cell>
          <cell r="F379">
            <v>9</v>
          </cell>
          <cell r="G379">
            <v>271</v>
          </cell>
          <cell r="H379">
            <v>0.13</v>
          </cell>
        </row>
        <row r="380">
          <cell r="A380" t="str">
            <v>FP300</v>
          </cell>
          <cell r="B380" t="str">
            <v>fonte ductile</v>
          </cell>
          <cell r="C380" t="str">
            <v>12"</v>
          </cell>
          <cell r="D380">
            <v>300</v>
          </cell>
          <cell r="E380">
            <v>306.8</v>
          </cell>
          <cell r="F380">
            <v>9.6</v>
          </cell>
          <cell r="G380">
            <v>326</v>
          </cell>
          <cell r="H380">
            <v>0.13</v>
          </cell>
        </row>
        <row r="382">
          <cell r="A382" t="str">
            <v>==============</v>
          </cell>
          <cell r="B382" t="str">
            <v>==============</v>
          </cell>
          <cell r="C382" t="str">
            <v>==============</v>
          </cell>
        </row>
        <row r="383">
          <cell r="A383" t="str">
            <v>Tubes</v>
          </cell>
          <cell r="B383" t="str">
            <v>PVC chauffage</v>
          </cell>
          <cell r="C383" t="str">
            <v>Plancher chauffant</v>
          </cell>
        </row>
        <row r="384">
          <cell r="A384" t="str">
            <v>==============</v>
          </cell>
          <cell r="B384" t="str">
            <v>==============</v>
          </cell>
          <cell r="C384" t="str">
            <v>==============</v>
          </cell>
        </row>
        <row r="385">
          <cell r="A385" t="str">
            <v>CH12</v>
          </cell>
          <cell r="B385" t="str">
            <v>PVC-chauf.sol</v>
          </cell>
          <cell r="C385" t="str">
            <v>12/1,1</v>
          </cell>
          <cell r="D385" t="str">
            <v>DN12 - 3/8"</v>
          </cell>
          <cell r="E385">
            <v>9.8000000000000007</v>
          </cell>
          <cell r="G385">
            <v>12</v>
          </cell>
          <cell r="H385">
            <v>3.0000000000000001E-3</v>
          </cell>
        </row>
        <row r="386">
          <cell r="A386" t="str">
            <v>CH16</v>
          </cell>
          <cell r="B386" t="str">
            <v>PVC-chauf.sol</v>
          </cell>
          <cell r="C386" t="str">
            <v>16/1,5</v>
          </cell>
          <cell r="D386" t="str">
            <v>DN15 - 1/2"</v>
          </cell>
          <cell r="E386">
            <v>13</v>
          </cell>
          <cell r="G386">
            <v>16</v>
          </cell>
          <cell r="H386">
            <v>3.0000000000000001E-3</v>
          </cell>
        </row>
        <row r="387">
          <cell r="A387" t="str">
            <v>CH20</v>
          </cell>
          <cell r="B387" t="str">
            <v>PVC-chauf.sol</v>
          </cell>
          <cell r="C387" t="str">
            <v>20/2</v>
          </cell>
          <cell r="D387" t="str">
            <v>DN20 - 3/4"</v>
          </cell>
          <cell r="E387">
            <v>16.2</v>
          </cell>
          <cell r="G387">
            <v>20</v>
          </cell>
          <cell r="H387">
            <v>3.0000000000000001E-3</v>
          </cell>
        </row>
        <row r="388">
          <cell r="A388" t="str">
            <v>CH25</v>
          </cell>
          <cell r="B388" t="str">
            <v>PVC-chauf.sol</v>
          </cell>
          <cell r="C388" t="str">
            <v>25/2,3</v>
          </cell>
          <cell r="D388" t="str">
            <v>DN25 - 1"</v>
          </cell>
          <cell r="E388">
            <v>20.399999999999999</v>
          </cell>
          <cell r="G388">
            <v>25</v>
          </cell>
          <cell r="H388">
            <v>3.0000000000000001E-3</v>
          </cell>
        </row>
        <row r="390">
          <cell r="A390" t="str">
            <v>==============</v>
          </cell>
          <cell r="B390" t="str">
            <v>==============</v>
          </cell>
          <cell r="C390" t="str">
            <v>==============</v>
          </cell>
        </row>
        <row r="391">
          <cell r="A391" t="str">
            <v>Tubes</v>
          </cell>
          <cell r="B391" t="str">
            <v>PVC-polyétylène-v</v>
          </cell>
          <cell r="C391" t="str">
            <v>Eau pression</v>
          </cell>
        </row>
        <row r="392">
          <cell r="A392" t="str">
            <v>==============</v>
          </cell>
          <cell r="B392" t="str">
            <v>==============</v>
          </cell>
          <cell r="C392" t="str">
            <v>==============</v>
          </cell>
        </row>
        <row r="393">
          <cell r="A393" t="str">
            <v>PVC16-25</v>
          </cell>
          <cell r="B393" t="str">
            <v>pvc25bars(poly-V)</v>
          </cell>
          <cell r="C393" t="str">
            <v>16/1,8</v>
          </cell>
          <cell r="D393" t="str">
            <v>DN12 - 3/8"</v>
          </cell>
          <cell r="E393">
            <v>12.4</v>
          </cell>
          <cell r="F393" t="str">
            <v>1,8</v>
          </cell>
          <cell r="G393">
            <v>16</v>
          </cell>
          <cell r="H393">
            <v>3.0000000000000001E-3</v>
          </cell>
        </row>
        <row r="394">
          <cell r="A394" t="str">
            <v>PVC20-25</v>
          </cell>
          <cell r="B394" t="str">
            <v>pvc25bars(poly-V)</v>
          </cell>
          <cell r="C394" t="str">
            <v>20/2,3</v>
          </cell>
          <cell r="D394" t="str">
            <v>DN15 - 1/2"</v>
          </cell>
          <cell r="E394">
            <v>15.4</v>
          </cell>
          <cell r="F394" t="str">
            <v>2,3</v>
          </cell>
          <cell r="G394">
            <v>20</v>
          </cell>
          <cell r="H394">
            <v>3.0000000000000001E-3</v>
          </cell>
        </row>
        <row r="395">
          <cell r="A395" t="str">
            <v>PVC25-25</v>
          </cell>
          <cell r="B395" t="str">
            <v>pvc25bars(poly-V)</v>
          </cell>
          <cell r="C395" t="str">
            <v>25/2,8</v>
          </cell>
          <cell r="D395" t="str">
            <v>DN20 - 3/4"</v>
          </cell>
          <cell r="E395">
            <v>19.399999999999999</v>
          </cell>
          <cell r="F395" t="str">
            <v>2,8</v>
          </cell>
          <cell r="G395">
            <v>25</v>
          </cell>
          <cell r="H395">
            <v>3.0000000000000001E-3</v>
          </cell>
        </row>
        <row r="396">
          <cell r="A396" t="str">
            <v>PVC32-25</v>
          </cell>
          <cell r="B396" t="str">
            <v>pvc25bars(poly-V)</v>
          </cell>
          <cell r="C396" t="str">
            <v>32/3,6</v>
          </cell>
          <cell r="D396" t="str">
            <v>DN25 - 1"</v>
          </cell>
          <cell r="E396">
            <v>24.8</v>
          </cell>
          <cell r="F396" t="str">
            <v>3,6</v>
          </cell>
          <cell r="G396">
            <v>32</v>
          </cell>
          <cell r="H396">
            <v>3.0000000000000001E-3</v>
          </cell>
        </row>
        <row r="397">
          <cell r="A397" t="str">
            <v>PVC32-16</v>
          </cell>
          <cell r="B397" t="str">
            <v>pvc16bars(poly-V)</v>
          </cell>
          <cell r="C397" t="str">
            <v>32/2,4</v>
          </cell>
          <cell r="D397" t="str">
            <v>DN25 - 1"</v>
          </cell>
          <cell r="E397">
            <v>27.2</v>
          </cell>
          <cell r="F397" t="str">
            <v>2,4</v>
          </cell>
          <cell r="G397">
            <v>32</v>
          </cell>
          <cell r="H397">
            <v>3.0000000000000001E-3</v>
          </cell>
        </row>
        <row r="398">
          <cell r="A398" t="str">
            <v>PVC40-25</v>
          </cell>
          <cell r="B398" t="str">
            <v>pvc25bars(poly-V)</v>
          </cell>
          <cell r="C398" t="str">
            <v>40/4,5</v>
          </cell>
          <cell r="D398" t="str">
            <v>DN32 - 1 1/4"</v>
          </cell>
          <cell r="E398">
            <v>31</v>
          </cell>
          <cell r="F398" t="str">
            <v>4,5</v>
          </cell>
          <cell r="G398">
            <v>40</v>
          </cell>
          <cell r="H398">
            <v>3.0000000000000001E-3</v>
          </cell>
        </row>
        <row r="399">
          <cell r="A399" t="str">
            <v>PVC40-16</v>
          </cell>
          <cell r="B399" t="str">
            <v>pvc16bars(poly-V)</v>
          </cell>
          <cell r="C399" t="str">
            <v>40/3</v>
          </cell>
          <cell r="D399" t="str">
            <v>DN32 - 1 1/4"</v>
          </cell>
          <cell r="E399">
            <v>34</v>
          </cell>
          <cell r="F399" t="str">
            <v>3</v>
          </cell>
          <cell r="G399">
            <v>40</v>
          </cell>
          <cell r="H399">
            <v>3.0000000000000001E-3</v>
          </cell>
        </row>
        <row r="400">
          <cell r="A400" t="str">
            <v>PVC50-25</v>
          </cell>
          <cell r="B400" t="str">
            <v>pvc25bars(poly-V)</v>
          </cell>
          <cell r="C400" t="str">
            <v>50/5,6</v>
          </cell>
          <cell r="D400" t="str">
            <v>DN40 - 1.5"</v>
          </cell>
          <cell r="E400">
            <v>38.799999999999997</v>
          </cell>
          <cell r="F400" t="str">
            <v>5,6</v>
          </cell>
          <cell r="G400">
            <v>50</v>
          </cell>
          <cell r="H400">
            <v>3.0000000000000001E-3</v>
          </cell>
        </row>
        <row r="401">
          <cell r="A401" t="str">
            <v>PVC50-16</v>
          </cell>
          <cell r="B401" t="str">
            <v>pvc16bars(poly-V)</v>
          </cell>
          <cell r="C401" t="str">
            <v>50/3,7</v>
          </cell>
          <cell r="D401" t="str">
            <v>DN40 - 1.5"</v>
          </cell>
          <cell r="E401">
            <v>42.6</v>
          </cell>
          <cell r="F401" t="str">
            <v>3,7</v>
          </cell>
          <cell r="G401">
            <v>50</v>
          </cell>
          <cell r="H401">
            <v>3.0000000000000001E-3</v>
          </cell>
        </row>
        <row r="402">
          <cell r="A402" t="str">
            <v>PVC63-16</v>
          </cell>
          <cell r="B402" t="str">
            <v>pvc16bars(poly-V)</v>
          </cell>
          <cell r="C402" t="str">
            <v>63/4,7</v>
          </cell>
          <cell r="D402" t="str">
            <v>DN50 - 2"</v>
          </cell>
          <cell r="E402">
            <v>53.6</v>
          </cell>
          <cell r="F402" t="str">
            <v>4,7</v>
          </cell>
          <cell r="G402">
            <v>63</v>
          </cell>
          <cell r="H402">
            <v>3.0000000000000001E-3</v>
          </cell>
        </row>
        <row r="403">
          <cell r="A403" t="str">
            <v>PVC75-16</v>
          </cell>
          <cell r="B403" t="str">
            <v>pvc16bars(poly-V)</v>
          </cell>
          <cell r="C403" t="str">
            <v>75/5,5</v>
          </cell>
          <cell r="D403" t="str">
            <v>DN65 - 2.5"</v>
          </cell>
          <cell r="E403">
            <v>64</v>
          </cell>
          <cell r="F403" t="str">
            <v>5,5</v>
          </cell>
          <cell r="G403">
            <v>75</v>
          </cell>
          <cell r="H403">
            <v>3.0000000000000001E-3</v>
          </cell>
        </row>
        <row r="404">
          <cell r="A404" t="str">
            <v>PVC90-16</v>
          </cell>
          <cell r="B404" t="str">
            <v>pvc16bars(poly-V)</v>
          </cell>
          <cell r="C404" t="str">
            <v>90/6,6</v>
          </cell>
          <cell r="D404" t="str">
            <v>DN80 - 3"</v>
          </cell>
          <cell r="E404">
            <v>76.8</v>
          </cell>
          <cell r="F404" t="str">
            <v>6,6</v>
          </cell>
          <cell r="G404">
            <v>90</v>
          </cell>
          <cell r="H404">
            <v>3.0000000000000001E-3</v>
          </cell>
        </row>
        <row r="405">
          <cell r="A405" t="str">
            <v>PVC90-10</v>
          </cell>
          <cell r="B405" t="str">
            <v>pvc10bars(poly-V)</v>
          </cell>
          <cell r="C405" t="str">
            <v>90/4,3</v>
          </cell>
          <cell r="D405" t="str">
            <v>DN80 - 3"</v>
          </cell>
          <cell r="E405">
            <v>81.400000000000006</v>
          </cell>
          <cell r="F405" t="str">
            <v>4,3</v>
          </cell>
          <cell r="G405">
            <v>90</v>
          </cell>
          <cell r="H405">
            <v>3.0000000000000001E-3</v>
          </cell>
        </row>
        <row r="406">
          <cell r="A406" t="str">
            <v>PVC110-16</v>
          </cell>
          <cell r="B406" t="str">
            <v>pvc16bars(poly-V)</v>
          </cell>
          <cell r="C406" t="str">
            <v>110/8,1</v>
          </cell>
          <cell r="D406" t="str">
            <v>DN100 - 4"</v>
          </cell>
          <cell r="E406">
            <v>93.8</v>
          </cell>
          <cell r="F406" t="str">
            <v>8,1</v>
          </cell>
          <cell r="G406">
            <v>110</v>
          </cell>
          <cell r="H406">
            <v>3.0000000000000001E-3</v>
          </cell>
        </row>
        <row r="407">
          <cell r="A407" t="str">
            <v>PVC110-10</v>
          </cell>
          <cell r="B407" t="str">
            <v>pvc10bars(poly-V)</v>
          </cell>
          <cell r="C407" t="str">
            <v>110/5,3</v>
          </cell>
          <cell r="D407" t="str">
            <v>DN100 - 4"</v>
          </cell>
          <cell r="E407">
            <v>99.4</v>
          </cell>
          <cell r="F407" t="str">
            <v>5,3</v>
          </cell>
          <cell r="G407">
            <v>110</v>
          </cell>
          <cell r="H407">
            <v>3.0000000000000001E-3</v>
          </cell>
        </row>
        <row r="408">
          <cell r="A408" t="str">
            <v>PVC125-16</v>
          </cell>
          <cell r="B408" t="str">
            <v>pvc16bars(poly-V)</v>
          </cell>
          <cell r="C408" t="str">
            <v>125/9,2</v>
          </cell>
          <cell r="D408" t="str">
            <v>DN125 - 5"</v>
          </cell>
          <cell r="E408">
            <v>106.6</v>
          </cell>
          <cell r="F408" t="str">
            <v>9,2</v>
          </cell>
          <cell r="G408">
            <v>125</v>
          </cell>
          <cell r="H408">
            <v>3.0000000000000001E-3</v>
          </cell>
        </row>
        <row r="409">
          <cell r="A409" t="str">
            <v>PVC125-10</v>
          </cell>
          <cell r="B409" t="str">
            <v>pvc10bars(poly-V)</v>
          </cell>
          <cell r="C409" t="str">
            <v>125/6</v>
          </cell>
          <cell r="D409" t="str">
            <v>DN125 - 5"</v>
          </cell>
          <cell r="E409">
            <v>113</v>
          </cell>
          <cell r="F409" t="str">
            <v>6</v>
          </cell>
          <cell r="G409">
            <v>125</v>
          </cell>
          <cell r="H409">
            <v>3.0000000000000001E-3</v>
          </cell>
        </row>
        <row r="410">
          <cell r="A410" t="str">
            <v>PVC140-16</v>
          </cell>
          <cell r="B410" t="str">
            <v>pvc16bars(poly-V)</v>
          </cell>
          <cell r="C410" t="str">
            <v>140/9,3</v>
          </cell>
          <cell r="D410">
            <v>5.5</v>
          </cell>
          <cell r="E410">
            <v>121.4</v>
          </cell>
          <cell r="F410" t="str">
            <v>9,3</v>
          </cell>
          <cell r="G410">
            <v>140</v>
          </cell>
          <cell r="H410">
            <v>3.0000000000000001E-3</v>
          </cell>
        </row>
        <row r="411">
          <cell r="A411" t="str">
            <v>PVC140-10</v>
          </cell>
          <cell r="B411" t="str">
            <v>pvc10bars(poly-V)</v>
          </cell>
          <cell r="C411" t="str">
            <v>140/6,1</v>
          </cell>
          <cell r="D411">
            <v>5.5</v>
          </cell>
          <cell r="E411">
            <v>127.8</v>
          </cell>
          <cell r="F411" t="str">
            <v>6,1</v>
          </cell>
          <cell r="G411">
            <v>140</v>
          </cell>
          <cell r="H411">
            <v>3.0000000000000001E-3</v>
          </cell>
        </row>
        <row r="412">
          <cell r="A412" t="str">
            <v>PVC160-16</v>
          </cell>
          <cell r="B412" t="str">
            <v>pvc16bars(poly-V)</v>
          </cell>
          <cell r="C412" t="str">
            <v>160/9,5</v>
          </cell>
          <cell r="D412" t="str">
            <v>DN150 - 6"</v>
          </cell>
          <cell r="E412">
            <v>141</v>
          </cell>
          <cell r="F412" t="str">
            <v>9,5</v>
          </cell>
          <cell r="G412">
            <v>160</v>
          </cell>
          <cell r="H412">
            <v>3.0000000000000001E-3</v>
          </cell>
        </row>
        <row r="413">
          <cell r="A413" t="str">
            <v>PVC160-10</v>
          </cell>
          <cell r="B413" t="str">
            <v>pvc10bars(poly-V)</v>
          </cell>
          <cell r="C413" t="str">
            <v>160/6,2</v>
          </cell>
          <cell r="D413" t="str">
            <v>DN150 - 6"</v>
          </cell>
          <cell r="E413">
            <v>147.6</v>
          </cell>
          <cell r="F413" t="str">
            <v>6,2</v>
          </cell>
          <cell r="G413">
            <v>160</v>
          </cell>
          <cell r="H413">
            <v>3.0000000000000001E-3</v>
          </cell>
        </row>
        <row r="414">
          <cell r="A414" t="str">
            <v>PVC200-16</v>
          </cell>
          <cell r="B414" t="str">
            <v>pvc16bars(poly-V)</v>
          </cell>
          <cell r="C414" t="str">
            <v>200/11,9</v>
          </cell>
          <cell r="D414" t="str">
            <v>DN200 - 8"</v>
          </cell>
          <cell r="E414">
            <v>176.2</v>
          </cell>
          <cell r="F414" t="str">
            <v>11,9</v>
          </cell>
          <cell r="G414">
            <v>200</v>
          </cell>
          <cell r="H414">
            <v>3.0000000000000001E-3</v>
          </cell>
        </row>
        <row r="415">
          <cell r="A415" t="str">
            <v>PVC200-10</v>
          </cell>
          <cell r="B415" t="str">
            <v>pvc10bars(poly-V)</v>
          </cell>
          <cell r="C415" t="str">
            <v>200/7,7</v>
          </cell>
          <cell r="D415" t="str">
            <v>DN200 - 8"</v>
          </cell>
          <cell r="E415">
            <v>184.6</v>
          </cell>
          <cell r="F415" t="str">
            <v>7,7</v>
          </cell>
          <cell r="G415">
            <v>200</v>
          </cell>
          <cell r="H415">
            <v>3.0000000000000001E-3</v>
          </cell>
        </row>
        <row r="416">
          <cell r="A416" t="str">
            <v>PVC225-16</v>
          </cell>
          <cell r="B416" t="str">
            <v>pvc16bars(poly-V)</v>
          </cell>
          <cell r="C416" t="str">
            <v>225/13,4</v>
          </cell>
          <cell r="D416">
            <v>9</v>
          </cell>
          <cell r="E416">
            <v>196.2</v>
          </cell>
          <cell r="F416" t="str">
            <v>13,4</v>
          </cell>
          <cell r="G416">
            <v>225</v>
          </cell>
          <cell r="H416">
            <v>3.0000000000000001E-3</v>
          </cell>
        </row>
        <row r="417">
          <cell r="A417" t="str">
            <v>PVC225-10</v>
          </cell>
          <cell r="B417" t="str">
            <v>pvc10bars(poly-V)</v>
          </cell>
          <cell r="C417" t="str">
            <v>225/8,6</v>
          </cell>
          <cell r="D417">
            <v>9</v>
          </cell>
          <cell r="E417">
            <v>207.8</v>
          </cell>
          <cell r="F417" t="str">
            <v>8,6</v>
          </cell>
          <cell r="G417">
            <v>225</v>
          </cell>
          <cell r="H417">
            <v>3.0000000000000001E-3</v>
          </cell>
        </row>
        <row r="418">
          <cell r="A418" t="str">
            <v>PVC250-16</v>
          </cell>
          <cell r="B418" t="str">
            <v>pvc16bars(poly-V)</v>
          </cell>
          <cell r="C418" t="str">
            <v>250/14,8</v>
          </cell>
          <cell r="D418" t="str">
            <v>DN250 - 10"</v>
          </cell>
          <cell r="E418">
            <v>220.4</v>
          </cell>
          <cell r="F418" t="str">
            <v>14,8</v>
          </cell>
          <cell r="G418">
            <v>250</v>
          </cell>
          <cell r="H418">
            <v>3.0000000000000001E-3</v>
          </cell>
        </row>
        <row r="419">
          <cell r="A419" t="str">
            <v>PVC250-10</v>
          </cell>
          <cell r="B419" t="str">
            <v>pvc10bars(poly-V)</v>
          </cell>
          <cell r="C419" t="str">
            <v>250/9,6</v>
          </cell>
          <cell r="D419" t="str">
            <v>DN250 - 10"</v>
          </cell>
          <cell r="E419">
            <v>230.8</v>
          </cell>
          <cell r="F419" t="str">
            <v>9,6</v>
          </cell>
          <cell r="G419">
            <v>250</v>
          </cell>
          <cell r="H419">
            <v>3.0000000000000001E-3</v>
          </cell>
        </row>
        <row r="420">
          <cell r="A420" t="str">
            <v>PVC315-16</v>
          </cell>
          <cell r="B420" t="str">
            <v>pvc16bars(poly-V)</v>
          </cell>
          <cell r="C420" t="str">
            <v>315/18,7</v>
          </cell>
          <cell r="D420" t="str">
            <v>DN300 - 12"</v>
          </cell>
          <cell r="E420">
            <v>277.60000000000002</v>
          </cell>
          <cell r="F420" t="str">
            <v>18,7</v>
          </cell>
          <cell r="G420">
            <v>315</v>
          </cell>
          <cell r="H420">
            <v>3.0000000000000001E-3</v>
          </cell>
        </row>
        <row r="422">
          <cell r="A422" t="str">
            <v>==============</v>
          </cell>
          <cell r="B422" t="str">
            <v>==============</v>
          </cell>
          <cell r="C422" t="str">
            <v>==============</v>
          </cell>
        </row>
        <row r="423">
          <cell r="A423" t="str">
            <v>Tubes</v>
          </cell>
          <cell r="B423" t="str">
            <v>PVC-PEhD</v>
          </cell>
          <cell r="C423" t="str">
            <v>Eau pression</v>
          </cell>
        </row>
        <row r="424">
          <cell r="A424" t="str">
            <v>==============</v>
          </cell>
          <cell r="B424" t="str">
            <v>==============</v>
          </cell>
          <cell r="C424" t="str">
            <v>==============</v>
          </cell>
        </row>
        <row r="425">
          <cell r="A425" t="str">
            <v>PH12</v>
          </cell>
          <cell r="B425" t="str">
            <v>pvc25bars(PEhD)</v>
          </cell>
          <cell r="C425" t="str">
            <v>8,2x12</v>
          </cell>
          <cell r="E425">
            <v>9.1999999999999993</v>
          </cell>
          <cell r="F425" t="str">
            <v>1,4</v>
          </cell>
          <cell r="G425">
            <v>12</v>
          </cell>
          <cell r="H425">
            <v>3.0000000000000001E-3</v>
          </cell>
        </row>
        <row r="426">
          <cell r="A426" t="str">
            <v>PH15</v>
          </cell>
          <cell r="B426" t="str">
            <v>pvc25bars(PEhD)</v>
          </cell>
          <cell r="C426" t="str">
            <v>12,4x16</v>
          </cell>
          <cell r="D426" t="str">
            <v>DN12 - 3/8"</v>
          </cell>
          <cell r="E426">
            <v>12.4</v>
          </cell>
          <cell r="F426" t="str">
            <v>1,8</v>
          </cell>
          <cell r="G426">
            <v>16</v>
          </cell>
          <cell r="H426">
            <v>3.0000000000000001E-3</v>
          </cell>
        </row>
        <row r="427">
          <cell r="A427" t="str">
            <v>PH20</v>
          </cell>
          <cell r="B427" t="str">
            <v>pvc25bars(PEhD)</v>
          </cell>
          <cell r="C427" t="str">
            <v>15,4x20</v>
          </cell>
          <cell r="D427" t="str">
            <v>DN15 - 1/2"</v>
          </cell>
          <cell r="E427">
            <v>15.4</v>
          </cell>
          <cell r="F427" t="str">
            <v>2,3</v>
          </cell>
          <cell r="G427">
            <v>20</v>
          </cell>
          <cell r="H427">
            <v>3.0000000000000001E-3</v>
          </cell>
        </row>
        <row r="428">
          <cell r="A428" t="str">
            <v>PH25</v>
          </cell>
          <cell r="B428" t="str">
            <v>pvc25bars(PEhD)</v>
          </cell>
          <cell r="C428" t="str">
            <v>19,4x25</v>
          </cell>
          <cell r="D428" t="str">
            <v>DN20 - 3/4"</v>
          </cell>
          <cell r="E428">
            <v>19.399999999999999</v>
          </cell>
          <cell r="F428" t="str">
            <v>2,8</v>
          </cell>
          <cell r="G428">
            <v>25</v>
          </cell>
          <cell r="H428">
            <v>3.0000000000000001E-3</v>
          </cell>
        </row>
        <row r="429">
          <cell r="A429" t="str">
            <v>PH32-25</v>
          </cell>
          <cell r="B429" t="str">
            <v>pvc25bars(PEhD)</v>
          </cell>
          <cell r="C429" t="str">
            <v>24,8x32</v>
          </cell>
          <cell r="D429" t="str">
            <v>DN25 - 1"</v>
          </cell>
          <cell r="E429">
            <v>24.8</v>
          </cell>
          <cell r="F429" t="str">
            <v>3,6</v>
          </cell>
          <cell r="G429">
            <v>32</v>
          </cell>
          <cell r="H429">
            <v>3.0000000000000001E-3</v>
          </cell>
        </row>
        <row r="430">
          <cell r="A430" t="str">
            <v>PH32-16</v>
          </cell>
          <cell r="B430" t="str">
            <v>pvc16bars(PEhD)</v>
          </cell>
          <cell r="C430" t="str">
            <v>27,2x32</v>
          </cell>
          <cell r="D430" t="str">
            <v>DN25 - 1"</v>
          </cell>
          <cell r="E430">
            <v>27.2</v>
          </cell>
          <cell r="F430" t="str">
            <v>2,4</v>
          </cell>
          <cell r="G430">
            <v>32</v>
          </cell>
          <cell r="H430">
            <v>3.0000000000000001E-3</v>
          </cell>
        </row>
        <row r="431">
          <cell r="A431" t="str">
            <v>PH40-25</v>
          </cell>
          <cell r="B431" t="str">
            <v>pvc25bars(PEhD)</v>
          </cell>
          <cell r="C431" t="str">
            <v>31x42</v>
          </cell>
          <cell r="D431" t="str">
            <v>DN32 - 1 1/4"</v>
          </cell>
          <cell r="E431">
            <v>31</v>
          </cell>
          <cell r="F431" t="str">
            <v>4,5</v>
          </cell>
          <cell r="G431">
            <v>40</v>
          </cell>
          <cell r="H431">
            <v>3.0000000000000001E-3</v>
          </cell>
        </row>
        <row r="432">
          <cell r="A432" t="str">
            <v>PH40-16</v>
          </cell>
          <cell r="B432" t="str">
            <v>pvc16bars(PEhD)</v>
          </cell>
          <cell r="C432" t="str">
            <v>34x42</v>
          </cell>
          <cell r="D432" t="str">
            <v>DN32 - 1 1/4"</v>
          </cell>
          <cell r="E432">
            <v>34</v>
          </cell>
          <cell r="F432" t="str">
            <v>3</v>
          </cell>
          <cell r="G432">
            <v>40</v>
          </cell>
          <cell r="H432">
            <v>3.0000000000000001E-3</v>
          </cell>
        </row>
        <row r="433">
          <cell r="A433" t="str">
            <v>PH50-25</v>
          </cell>
          <cell r="B433" t="str">
            <v>pvc25bars(PEhD)</v>
          </cell>
          <cell r="C433" t="str">
            <v>38x50</v>
          </cell>
          <cell r="D433" t="str">
            <v>DN40 - 1.5"</v>
          </cell>
          <cell r="E433">
            <v>38.799999999999997</v>
          </cell>
          <cell r="F433" t="str">
            <v>5,6</v>
          </cell>
          <cell r="G433">
            <v>50</v>
          </cell>
          <cell r="H433">
            <v>3.0000000000000001E-3</v>
          </cell>
        </row>
        <row r="434">
          <cell r="A434" t="str">
            <v>PH50-16</v>
          </cell>
          <cell r="B434" t="str">
            <v>pvc16bars(PEhD)</v>
          </cell>
          <cell r="C434" t="str">
            <v>42,6x50</v>
          </cell>
          <cell r="D434" t="str">
            <v>DN40 - 1.5"</v>
          </cell>
          <cell r="E434">
            <v>42.6</v>
          </cell>
          <cell r="F434" t="str">
            <v>3,7</v>
          </cell>
          <cell r="G434">
            <v>50</v>
          </cell>
          <cell r="H434">
            <v>3.0000000000000001E-3</v>
          </cell>
        </row>
        <row r="435">
          <cell r="A435" t="str">
            <v>PH63-16</v>
          </cell>
          <cell r="B435" t="str">
            <v>pvc16bars(PEhD)</v>
          </cell>
          <cell r="C435" t="str">
            <v>53,6x63</v>
          </cell>
          <cell r="D435" t="str">
            <v>DN50 - 2"</v>
          </cell>
          <cell r="E435">
            <v>53.6</v>
          </cell>
          <cell r="F435" t="str">
            <v>4,7</v>
          </cell>
          <cell r="G435">
            <v>63</v>
          </cell>
          <cell r="H435">
            <v>3.0000000000000001E-3</v>
          </cell>
        </row>
        <row r="436">
          <cell r="A436" t="str">
            <v>PH75-16</v>
          </cell>
          <cell r="B436" t="str">
            <v>pvc16bars(PEhD)</v>
          </cell>
          <cell r="C436" t="str">
            <v>64x75</v>
          </cell>
          <cell r="D436" t="str">
            <v>DN65 - 2.5"</v>
          </cell>
          <cell r="E436">
            <v>64</v>
          </cell>
          <cell r="F436" t="str">
            <v>5,5</v>
          </cell>
          <cell r="G436">
            <v>75</v>
          </cell>
          <cell r="H436">
            <v>3.0000000000000001E-3</v>
          </cell>
        </row>
        <row r="437">
          <cell r="A437" t="str">
            <v>PH90-16</v>
          </cell>
          <cell r="B437" t="str">
            <v>pvc16bars(PEhD)</v>
          </cell>
          <cell r="C437" t="str">
            <v>76,8x90</v>
          </cell>
          <cell r="D437" t="str">
            <v>DN80 - 3"</v>
          </cell>
          <cell r="E437">
            <v>76.8</v>
          </cell>
          <cell r="F437" t="str">
            <v>6,6</v>
          </cell>
          <cell r="G437">
            <v>90</v>
          </cell>
          <cell r="H437">
            <v>3.0000000000000001E-3</v>
          </cell>
        </row>
        <row r="438">
          <cell r="A438" t="str">
            <v>PH90-10</v>
          </cell>
          <cell r="B438" t="str">
            <v>pvc10bars(PEhD)</v>
          </cell>
          <cell r="C438" t="str">
            <v>81,4x90</v>
          </cell>
          <cell r="D438" t="str">
            <v>DN80 - 3"</v>
          </cell>
          <cell r="E438">
            <v>81.400000000000006</v>
          </cell>
          <cell r="F438" t="str">
            <v>4,3</v>
          </cell>
          <cell r="G438">
            <v>90</v>
          </cell>
          <cell r="H438">
            <v>3.0000000000000001E-3</v>
          </cell>
        </row>
        <row r="439">
          <cell r="A439" t="str">
            <v>PH110-16</v>
          </cell>
          <cell r="B439" t="str">
            <v>pvc16bars(PEhD)</v>
          </cell>
          <cell r="C439" t="str">
            <v>93,8x110</v>
          </cell>
          <cell r="D439" t="str">
            <v>DN100 - 4"</v>
          </cell>
          <cell r="E439">
            <v>93.8</v>
          </cell>
          <cell r="F439" t="str">
            <v>8,1</v>
          </cell>
          <cell r="G439">
            <v>110</v>
          </cell>
          <cell r="H439">
            <v>3.0000000000000001E-3</v>
          </cell>
        </row>
        <row r="440">
          <cell r="A440" t="str">
            <v>PH110-10</v>
          </cell>
          <cell r="B440" t="str">
            <v>pvc10bars(PEhD)</v>
          </cell>
          <cell r="C440" t="str">
            <v>99,4x110</v>
          </cell>
          <cell r="D440" t="str">
            <v>DN100 - 4"</v>
          </cell>
          <cell r="E440">
            <v>99.4</v>
          </cell>
          <cell r="F440" t="str">
            <v>5,3</v>
          </cell>
          <cell r="G440">
            <v>110</v>
          </cell>
          <cell r="H440">
            <v>3.0000000000000001E-3</v>
          </cell>
        </row>
        <row r="441">
          <cell r="A441" t="str">
            <v>PH125-16</v>
          </cell>
          <cell r="B441" t="str">
            <v>pvc16bars(PEhD)</v>
          </cell>
          <cell r="C441" t="str">
            <v>106,6x125</v>
          </cell>
          <cell r="D441" t="str">
            <v>DN125 - 5"</v>
          </cell>
          <cell r="E441">
            <v>106.6</v>
          </cell>
          <cell r="F441" t="str">
            <v>9,2</v>
          </cell>
          <cell r="G441">
            <v>125</v>
          </cell>
          <cell r="H441">
            <v>3.0000000000000001E-3</v>
          </cell>
        </row>
        <row r="442">
          <cell r="A442" t="str">
            <v>PH125-10</v>
          </cell>
          <cell r="B442" t="str">
            <v>pvc10bars(PEhD)</v>
          </cell>
          <cell r="C442" t="str">
            <v>113x125</v>
          </cell>
          <cell r="D442" t="str">
            <v>DN125 - 5"</v>
          </cell>
          <cell r="E442">
            <v>113</v>
          </cell>
          <cell r="F442" t="str">
            <v>6</v>
          </cell>
          <cell r="G442">
            <v>125</v>
          </cell>
          <cell r="H442">
            <v>3.0000000000000001E-3</v>
          </cell>
        </row>
        <row r="443">
          <cell r="A443" t="str">
            <v>PH140-10</v>
          </cell>
          <cell r="B443" t="str">
            <v>pvc10bars(PEhD)</v>
          </cell>
          <cell r="C443" t="str">
            <v>127,8x140</v>
          </cell>
          <cell r="D443">
            <v>5.5</v>
          </cell>
          <cell r="E443">
            <v>127.8</v>
          </cell>
          <cell r="F443" t="str">
            <v>6,1</v>
          </cell>
          <cell r="G443">
            <v>140</v>
          </cell>
          <cell r="H443">
            <v>3.0000000000000001E-3</v>
          </cell>
        </row>
        <row r="444">
          <cell r="A444" t="str">
            <v>PH160-10</v>
          </cell>
          <cell r="B444" t="str">
            <v>pvc10bars(PEhD)</v>
          </cell>
          <cell r="C444" t="str">
            <v>147,x160</v>
          </cell>
          <cell r="D444" t="str">
            <v>DN150 - 6"</v>
          </cell>
          <cell r="E444">
            <v>147.6</v>
          </cell>
          <cell r="F444" t="str">
            <v>6,2</v>
          </cell>
          <cell r="G444">
            <v>160</v>
          </cell>
          <cell r="H444">
            <v>3.0000000000000001E-3</v>
          </cell>
        </row>
        <row r="445">
          <cell r="A445" t="str">
            <v>PH200-6</v>
          </cell>
          <cell r="B445" t="str">
            <v>pvc6bars(PEhD)</v>
          </cell>
          <cell r="C445" t="str">
            <v>190,6x200</v>
          </cell>
          <cell r="D445" t="str">
            <v>DN200 - 8"</v>
          </cell>
          <cell r="E445">
            <v>190.6</v>
          </cell>
          <cell r="F445" t="str">
            <v>4,7</v>
          </cell>
          <cell r="G445">
            <v>200</v>
          </cell>
          <cell r="H445">
            <v>3.0000000000000001E-3</v>
          </cell>
        </row>
        <row r="446">
          <cell r="A446" t="str">
            <v>PH200-10</v>
          </cell>
          <cell r="B446" t="str">
            <v>pvc10bars(PEhD)</v>
          </cell>
          <cell r="C446" t="str">
            <v>184,6x200</v>
          </cell>
          <cell r="D446" t="str">
            <v>DN200 - 8"</v>
          </cell>
          <cell r="E446">
            <v>184.6</v>
          </cell>
          <cell r="F446" t="str">
            <v>7,7</v>
          </cell>
          <cell r="G446">
            <v>200</v>
          </cell>
          <cell r="H446">
            <v>3.0000000000000001E-3</v>
          </cell>
        </row>
        <row r="447">
          <cell r="A447" t="str">
            <v>PH225-10</v>
          </cell>
          <cell r="B447" t="str">
            <v>pvc10bars(PEhD)</v>
          </cell>
          <cell r="C447" t="str">
            <v>207,8x225</v>
          </cell>
          <cell r="D447">
            <v>9</v>
          </cell>
          <cell r="E447">
            <v>207.8</v>
          </cell>
          <cell r="F447" t="str">
            <v>8,6</v>
          </cell>
          <cell r="G447">
            <v>225</v>
          </cell>
          <cell r="H447">
            <v>3.0000000000000001E-3</v>
          </cell>
        </row>
        <row r="448">
          <cell r="A448" t="str">
            <v>PH250-6</v>
          </cell>
          <cell r="B448" t="str">
            <v>pvc6bars(PEhD)</v>
          </cell>
          <cell r="C448" t="str">
            <v>238,2x250</v>
          </cell>
          <cell r="D448" t="str">
            <v>DN250 - 10"</v>
          </cell>
          <cell r="E448">
            <v>238.2</v>
          </cell>
          <cell r="F448" t="str">
            <v>5,9</v>
          </cell>
          <cell r="G448">
            <v>250</v>
          </cell>
          <cell r="H448">
            <v>3.0000000000000001E-3</v>
          </cell>
        </row>
        <row r="449">
          <cell r="A449" t="str">
            <v>PH250-10</v>
          </cell>
          <cell r="B449" t="str">
            <v>pvc10bars(PEhD)</v>
          </cell>
          <cell r="C449" t="str">
            <v>230,8x250</v>
          </cell>
          <cell r="D449" t="str">
            <v>DN250 - 10"</v>
          </cell>
          <cell r="E449">
            <v>230.8</v>
          </cell>
          <cell r="F449" t="str">
            <v>9,6</v>
          </cell>
          <cell r="G449">
            <v>250</v>
          </cell>
          <cell r="H449">
            <v>3.0000000000000001E-3</v>
          </cell>
        </row>
        <row r="450">
          <cell r="A450" t="str">
            <v>PH315-6</v>
          </cell>
          <cell r="B450" t="str">
            <v>pvc6bars(PEhD)</v>
          </cell>
          <cell r="C450" t="str">
            <v>300,2x315</v>
          </cell>
          <cell r="D450" t="str">
            <v>DN300 - 12"</v>
          </cell>
          <cell r="E450">
            <v>300.2</v>
          </cell>
          <cell r="F450" t="str">
            <v>7,4</v>
          </cell>
          <cell r="G450">
            <v>315</v>
          </cell>
          <cell r="H450">
            <v>3.0000000000000001E-3</v>
          </cell>
        </row>
        <row r="451">
          <cell r="A451" t="str">
            <v>PH315-10</v>
          </cell>
          <cell r="B451" t="str">
            <v>pvc10bars(PEhD)</v>
          </cell>
          <cell r="C451" t="str">
            <v>290,8x315</v>
          </cell>
          <cell r="D451" t="str">
            <v>DN300 - 12"</v>
          </cell>
          <cell r="E451">
            <v>290.8</v>
          </cell>
          <cell r="F451" t="str">
            <v>12,1</v>
          </cell>
          <cell r="G451">
            <v>315</v>
          </cell>
          <cell r="H451">
            <v>3.0000000000000001E-3</v>
          </cell>
        </row>
        <row r="453">
          <cell r="A453" t="str">
            <v>==============</v>
          </cell>
          <cell r="B453" t="str">
            <v>==============</v>
          </cell>
          <cell r="C453" t="str">
            <v>==============</v>
          </cell>
        </row>
        <row r="454">
          <cell r="A454" t="str">
            <v>Tubes PVC</v>
          </cell>
          <cell r="B454" t="str">
            <v>Usage gaz</v>
          </cell>
          <cell r="C454" t="str">
            <v>Polyéthylène</v>
          </cell>
        </row>
        <row r="455">
          <cell r="A455" t="str">
            <v>==============</v>
          </cell>
          <cell r="B455" t="str">
            <v>==============</v>
          </cell>
          <cell r="C455" t="str">
            <v>==============</v>
          </cell>
        </row>
        <row r="456">
          <cell r="A456" t="str">
            <v>G15</v>
          </cell>
          <cell r="B456" t="str">
            <v>pvc25bars(gaz)</v>
          </cell>
          <cell r="C456" t="str">
            <v>14x20</v>
          </cell>
          <cell r="D456" t="str">
            <v>DN15 - 1/2"</v>
          </cell>
          <cell r="E456">
            <v>14</v>
          </cell>
          <cell r="F456" t="str">
            <v>3</v>
          </cell>
          <cell r="G456">
            <v>20</v>
          </cell>
          <cell r="H456">
            <v>3.0000000000000001E-3</v>
          </cell>
        </row>
        <row r="457">
          <cell r="A457" t="str">
            <v>G25</v>
          </cell>
          <cell r="B457" t="str">
            <v>pvc25bars(gaz)</v>
          </cell>
          <cell r="C457" t="str">
            <v>26x32</v>
          </cell>
          <cell r="D457" t="str">
            <v>DN20 - 3/4"</v>
          </cell>
          <cell r="E457">
            <v>26</v>
          </cell>
          <cell r="F457" t="str">
            <v>3</v>
          </cell>
          <cell r="G457">
            <v>32</v>
          </cell>
          <cell r="H457">
            <v>3.0000000000000001E-3</v>
          </cell>
        </row>
        <row r="458">
          <cell r="A458" t="str">
            <v>G32</v>
          </cell>
          <cell r="B458" t="str">
            <v>pvc25bars(gaz)</v>
          </cell>
          <cell r="C458" t="str">
            <v>32,6x40</v>
          </cell>
          <cell r="D458" t="str">
            <v>DN32 - 1 1/4"</v>
          </cell>
          <cell r="E458">
            <v>32.6</v>
          </cell>
          <cell r="F458" t="str">
            <v>3,7</v>
          </cell>
          <cell r="G458">
            <v>40</v>
          </cell>
          <cell r="H458">
            <v>3.0000000000000001E-3</v>
          </cell>
        </row>
        <row r="459">
          <cell r="A459" t="str">
            <v>G50</v>
          </cell>
          <cell r="B459" t="str">
            <v>pvc25bars(gaz)</v>
          </cell>
          <cell r="C459" t="str">
            <v>51,4x63</v>
          </cell>
          <cell r="D459" t="str">
            <v>DN50 - 2"</v>
          </cell>
          <cell r="E459">
            <v>51.4</v>
          </cell>
          <cell r="F459" t="str">
            <v>5,8</v>
          </cell>
          <cell r="G459">
            <v>63</v>
          </cell>
          <cell r="H459">
            <v>3.0000000000000001E-3</v>
          </cell>
        </row>
        <row r="460">
          <cell r="A460" t="str">
            <v>G80</v>
          </cell>
          <cell r="B460" t="str">
            <v>pvc25bars(gaz)</v>
          </cell>
          <cell r="C460" t="str">
            <v>73,6x90</v>
          </cell>
          <cell r="D460" t="str">
            <v>DN80 - 3"</v>
          </cell>
          <cell r="E460">
            <v>73.599999999999994</v>
          </cell>
          <cell r="F460" t="str">
            <v>8,2</v>
          </cell>
          <cell r="G460">
            <v>90</v>
          </cell>
          <cell r="H460">
            <v>3.0000000000000001E-3</v>
          </cell>
        </row>
        <row r="461">
          <cell r="A461" t="str">
            <v>G100</v>
          </cell>
          <cell r="B461" t="str">
            <v>pvc25bars(gaz)</v>
          </cell>
          <cell r="C461" t="str">
            <v>90x110</v>
          </cell>
          <cell r="D461" t="str">
            <v>DN100 - 4"</v>
          </cell>
          <cell r="E461">
            <v>90</v>
          </cell>
          <cell r="F461" t="str">
            <v>10</v>
          </cell>
          <cell r="G461">
            <v>110</v>
          </cell>
          <cell r="H461">
            <v>3.0000000000000001E-3</v>
          </cell>
        </row>
        <row r="462">
          <cell r="A462" t="str">
            <v>G125</v>
          </cell>
          <cell r="B462" t="str">
            <v>pvc25bars(gaz)</v>
          </cell>
          <cell r="C462" t="str">
            <v>102,2x125</v>
          </cell>
          <cell r="D462" t="str">
            <v>DN125 - 5"</v>
          </cell>
          <cell r="E462">
            <v>102.2</v>
          </cell>
          <cell r="F462" t="str">
            <v>11,4</v>
          </cell>
          <cell r="G462">
            <v>125</v>
          </cell>
          <cell r="H462">
            <v>3.0000000000000001E-3</v>
          </cell>
        </row>
        <row r="463">
          <cell r="A463" t="str">
            <v>G150</v>
          </cell>
          <cell r="B463" t="str">
            <v>pvc25bars(gaz)</v>
          </cell>
          <cell r="C463" t="str">
            <v>130,8x160</v>
          </cell>
          <cell r="D463" t="str">
            <v>DN150 - 6"</v>
          </cell>
          <cell r="E463">
            <v>130.80000000000001</v>
          </cell>
          <cell r="F463" t="str">
            <v>14,5</v>
          </cell>
          <cell r="G463">
            <v>160</v>
          </cell>
          <cell r="H463">
            <v>3.0000000000000001E-3</v>
          </cell>
        </row>
        <row r="464">
          <cell r="A464" t="str">
            <v>G200</v>
          </cell>
          <cell r="B464" t="str">
            <v>pvc25bars(gaz)</v>
          </cell>
          <cell r="C464" t="str">
            <v>177,2x200</v>
          </cell>
          <cell r="D464" t="str">
            <v>DN200 - 8"</v>
          </cell>
          <cell r="E464">
            <v>177.2</v>
          </cell>
          <cell r="F464" t="str">
            <v>11,4</v>
          </cell>
          <cell r="G464">
            <v>200</v>
          </cell>
          <cell r="H464">
            <v>3.0000000000000001E-3</v>
          </cell>
        </row>
        <row r="466">
          <cell r="A466" t="str">
            <v>==============</v>
          </cell>
          <cell r="B466" t="str">
            <v>==============</v>
          </cell>
          <cell r="C466" t="str">
            <v>==============</v>
          </cell>
        </row>
        <row r="467">
          <cell r="A467" t="str">
            <v>Tubes Inox</v>
          </cell>
          <cell r="B467" t="str">
            <v>316L</v>
          </cell>
        </row>
        <row r="468">
          <cell r="A468" t="str">
            <v>==============</v>
          </cell>
          <cell r="B468" t="str">
            <v>==============</v>
          </cell>
          <cell r="C468" t="str">
            <v>==============</v>
          </cell>
        </row>
        <row r="469">
          <cell r="A469" t="str">
            <v>IN12-1,6</v>
          </cell>
          <cell r="B469" t="str">
            <v>inox 316L</v>
          </cell>
          <cell r="C469" t="str">
            <v>17,2 / 1,6</v>
          </cell>
          <cell r="D469" t="str">
            <v>DN12 - 3/8"</v>
          </cell>
          <cell r="E469">
            <v>14</v>
          </cell>
          <cell r="G469">
            <v>17.2</v>
          </cell>
          <cell r="H469" t="str">
            <v>0,002</v>
          </cell>
        </row>
        <row r="470">
          <cell r="A470" t="str">
            <v>IN12-2</v>
          </cell>
          <cell r="B470" t="str">
            <v>inox 316L</v>
          </cell>
          <cell r="C470" t="str">
            <v>17,2 / 2</v>
          </cell>
          <cell r="D470" t="str">
            <v>DN12 - 3/8"</v>
          </cell>
          <cell r="E470">
            <v>13.2</v>
          </cell>
          <cell r="G470">
            <v>17.2</v>
          </cell>
          <cell r="H470" t="str">
            <v>0,002</v>
          </cell>
        </row>
        <row r="471">
          <cell r="A471" t="str">
            <v>IN15-1,6</v>
          </cell>
          <cell r="B471" t="str">
            <v>inox 316L</v>
          </cell>
          <cell r="C471" t="str">
            <v>21,3 / 1,6</v>
          </cell>
          <cell r="D471" t="str">
            <v>DN15 - 1/2"</v>
          </cell>
          <cell r="E471">
            <v>18.100000000000001</v>
          </cell>
          <cell r="G471">
            <v>21.3</v>
          </cell>
          <cell r="H471" t="str">
            <v>0,002</v>
          </cell>
        </row>
        <row r="472">
          <cell r="A472" t="str">
            <v>IN15-2</v>
          </cell>
          <cell r="B472" t="str">
            <v>inox 316L</v>
          </cell>
          <cell r="C472" t="str">
            <v>21,3,2 / 2</v>
          </cell>
          <cell r="D472" t="str">
            <v>DN15 - 1/2"</v>
          </cell>
          <cell r="E472">
            <v>17.3</v>
          </cell>
          <cell r="G472">
            <v>21.3</v>
          </cell>
          <cell r="H472" t="str">
            <v>0,002</v>
          </cell>
        </row>
        <row r="473">
          <cell r="A473" t="str">
            <v>IN20-1,6</v>
          </cell>
          <cell r="B473" t="str">
            <v>inox 316L</v>
          </cell>
          <cell r="C473" t="str">
            <v>26,9 / 1,6</v>
          </cell>
          <cell r="D473" t="str">
            <v>DN20 - 3/4"</v>
          </cell>
          <cell r="E473">
            <v>23.7</v>
          </cell>
          <cell r="G473">
            <v>26.9</v>
          </cell>
          <cell r="H473" t="str">
            <v>0,002</v>
          </cell>
        </row>
        <row r="474">
          <cell r="A474" t="str">
            <v>IN20-2</v>
          </cell>
          <cell r="B474" t="str">
            <v>inox 316L</v>
          </cell>
          <cell r="C474" t="str">
            <v>26,9 / 2</v>
          </cell>
          <cell r="D474" t="str">
            <v>DN20 - 3/4"</v>
          </cell>
          <cell r="E474">
            <v>22.9</v>
          </cell>
          <cell r="G474">
            <v>26.9</v>
          </cell>
          <cell r="H474" t="str">
            <v>0,002</v>
          </cell>
        </row>
        <row r="475">
          <cell r="A475" t="str">
            <v>IN25-1,6</v>
          </cell>
          <cell r="B475" t="str">
            <v>inox 316L</v>
          </cell>
          <cell r="C475" t="str">
            <v>33,7 / 1,6</v>
          </cell>
          <cell r="D475" t="str">
            <v>DN25 - 1"</v>
          </cell>
          <cell r="E475">
            <v>30.5</v>
          </cell>
          <cell r="G475">
            <v>33.700000000000003</v>
          </cell>
          <cell r="H475" t="str">
            <v>0,002</v>
          </cell>
        </row>
        <row r="476">
          <cell r="A476" t="str">
            <v>IN25-2</v>
          </cell>
          <cell r="B476" t="str">
            <v>inox 316L</v>
          </cell>
          <cell r="C476" t="str">
            <v>33,7 / 2</v>
          </cell>
          <cell r="D476" t="str">
            <v>DN25 - 1"</v>
          </cell>
          <cell r="E476">
            <v>29.7</v>
          </cell>
          <cell r="G476">
            <v>33.700000000000003</v>
          </cell>
          <cell r="H476" t="str">
            <v>0,002</v>
          </cell>
        </row>
        <row r="477">
          <cell r="A477" t="str">
            <v>IN25-3,2</v>
          </cell>
          <cell r="B477" t="str">
            <v>inox 316L</v>
          </cell>
          <cell r="C477" t="str">
            <v>33,7 / 3,2</v>
          </cell>
          <cell r="D477" t="str">
            <v>DN25 - 1"</v>
          </cell>
          <cell r="E477">
            <v>27.3</v>
          </cell>
          <cell r="G477">
            <v>33.700000000000003</v>
          </cell>
          <cell r="H477" t="str">
            <v>0,002</v>
          </cell>
        </row>
        <row r="478">
          <cell r="A478" t="str">
            <v>IN32-1,6</v>
          </cell>
          <cell r="B478" t="str">
            <v>inox 316L</v>
          </cell>
          <cell r="C478" t="str">
            <v>42,4 / 1,6</v>
          </cell>
          <cell r="D478" t="str">
            <v>DN32 - 1 1/4"</v>
          </cell>
          <cell r="E478">
            <v>39.200000000000003</v>
          </cell>
          <cell r="G478">
            <v>42.4</v>
          </cell>
          <cell r="H478" t="str">
            <v>0,002</v>
          </cell>
        </row>
        <row r="479">
          <cell r="A479" t="str">
            <v>IN32-2</v>
          </cell>
          <cell r="B479" t="str">
            <v>inox 316L</v>
          </cell>
          <cell r="C479" t="str">
            <v>42,4 / 2</v>
          </cell>
          <cell r="D479" t="str">
            <v>DN32 - 1 1/4"</v>
          </cell>
          <cell r="E479">
            <v>38.4</v>
          </cell>
          <cell r="G479">
            <v>42.4</v>
          </cell>
          <cell r="H479" t="str">
            <v>0,002</v>
          </cell>
        </row>
        <row r="480">
          <cell r="A480" t="str">
            <v>IN40-1,6</v>
          </cell>
          <cell r="B480" t="str">
            <v>inox 316L</v>
          </cell>
          <cell r="C480" t="str">
            <v>48,3 / 1,6</v>
          </cell>
          <cell r="D480" t="str">
            <v>DN40 - 1.5"</v>
          </cell>
          <cell r="E480">
            <v>45.1</v>
          </cell>
          <cell r="G480">
            <v>48.3</v>
          </cell>
          <cell r="H480" t="str">
            <v>0,002</v>
          </cell>
        </row>
        <row r="481">
          <cell r="A481" t="str">
            <v>IN40-2</v>
          </cell>
          <cell r="B481" t="str">
            <v>inox 316L</v>
          </cell>
          <cell r="C481" t="str">
            <v>48,3 / 2</v>
          </cell>
          <cell r="D481" t="str">
            <v>DN40 - 1.5"</v>
          </cell>
          <cell r="E481">
            <v>44.3</v>
          </cell>
          <cell r="G481">
            <v>48.3</v>
          </cell>
          <cell r="H481" t="str">
            <v>0,002</v>
          </cell>
        </row>
        <row r="482">
          <cell r="A482" t="str">
            <v>IN50-1,6</v>
          </cell>
          <cell r="B482" t="str">
            <v>inox 316L</v>
          </cell>
          <cell r="C482" t="str">
            <v>60,3 / 1,6</v>
          </cell>
          <cell r="D482" t="str">
            <v>DN50 - 2"</v>
          </cell>
          <cell r="E482">
            <v>57.1</v>
          </cell>
          <cell r="G482">
            <v>60.3</v>
          </cell>
          <cell r="H482" t="str">
            <v>0,002</v>
          </cell>
        </row>
        <row r="483">
          <cell r="A483" t="str">
            <v>IN50-2</v>
          </cell>
          <cell r="B483" t="str">
            <v>inox 316L</v>
          </cell>
          <cell r="C483" t="str">
            <v>60,3 / 2</v>
          </cell>
          <cell r="D483" t="str">
            <v>DN50 - 2"</v>
          </cell>
          <cell r="E483">
            <v>56.3</v>
          </cell>
          <cell r="G483">
            <v>60.3</v>
          </cell>
          <cell r="H483" t="str">
            <v>0,002</v>
          </cell>
        </row>
        <row r="484">
          <cell r="A484" t="str">
            <v>IN65-1,6</v>
          </cell>
          <cell r="B484" t="str">
            <v>inox 316L</v>
          </cell>
          <cell r="C484" t="str">
            <v>76,1 / 1,6</v>
          </cell>
          <cell r="D484" t="str">
            <v>DN65 - 2.5"</v>
          </cell>
          <cell r="E484">
            <v>72.900000000000006</v>
          </cell>
          <cell r="G484">
            <v>76.099999999999994</v>
          </cell>
          <cell r="H484" t="str">
            <v>0,002</v>
          </cell>
        </row>
        <row r="485">
          <cell r="A485" t="str">
            <v>IN65-2</v>
          </cell>
          <cell r="B485" t="str">
            <v>inox 316L</v>
          </cell>
          <cell r="C485" t="str">
            <v>76,1 / 2</v>
          </cell>
          <cell r="D485" t="str">
            <v>DN65 - 2.5"</v>
          </cell>
          <cell r="E485">
            <v>72.099999999999994</v>
          </cell>
          <cell r="G485">
            <v>76.099999999999994</v>
          </cell>
          <cell r="H485" t="str">
            <v>0,002</v>
          </cell>
        </row>
        <row r="486">
          <cell r="A486" t="str">
            <v>IN80-2</v>
          </cell>
          <cell r="B486" t="str">
            <v>inox 316L</v>
          </cell>
          <cell r="C486" t="str">
            <v>88,9 / 2</v>
          </cell>
          <cell r="D486" t="str">
            <v>DN80 - 3"</v>
          </cell>
          <cell r="E486">
            <v>84.9</v>
          </cell>
          <cell r="G486">
            <v>88.9</v>
          </cell>
          <cell r="H486" t="str">
            <v>0,002</v>
          </cell>
        </row>
        <row r="487">
          <cell r="A487" t="str">
            <v>IN100-2</v>
          </cell>
          <cell r="B487" t="str">
            <v>inox 316L</v>
          </cell>
          <cell r="C487" t="str">
            <v>114,3 / 2</v>
          </cell>
          <cell r="D487" t="str">
            <v>DN100 - 4"</v>
          </cell>
          <cell r="E487">
            <v>110.3</v>
          </cell>
          <cell r="G487">
            <v>114.3</v>
          </cell>
          <cell r="H487" t="str">
            <v>0,002</v>
          </cell>
        </row>
        <row r="488">
          <cell r="A488" t="str">
            <v>IN125-2</v>
          </cell>
          <cell r="B488" t="str">
            <v>inox 316L</v>
          </cell>
          <cell r="C488" t="str">
            <v>139,7 / 2</v>
          </cell>
          <cell r="D488" t="str">
            <v>DN125 - 5"</v>
          </cell>
          <cell r="E488">
            <v>135.69999999999999</v>
          </cell>
          <cell r="G488">
            <v>139.69999999999999</v>
          </cell>
          <cell r="H488" t="str">
            <v>0,002</v>
          </cell>
        </row>
        <row r="489">
          <cell r="A489" t="str">
            <v>IN150-2</v>
          </cell>
          <cell r="B489" t="str">
            <v>inox 316L</v>
          </cell>
          <cell r="C489" t="str">
            <v>168,3 / 2</v>
          </cell>
          <cell r="D489" t="str">
            <v>DN150 - 6"</v>
          </cell>
          <cell r="E489">
            <v>164.3</v>
          </cell>
          <cell r="G489">
            <v>168.3</v>
          </cell>
          <cell r="H489" t="str">
            <v>0,002</v>
          </cell>
        </row>
        <row r="490">
          <cell r="A490" t="str">
            <v>IN200-2</v>
          </cell>
          <cell r="B490" t="str">
            <v>inox 316L</v>
          </cell>
          <cell r="C490" t="str">
            <v>219,1 / 2</v>
          </cell>
          <cell r="D490" t="str">
            <v>DN200 - 8"</v>
          </cell>
          <cell r="E490">
            <v>215.1</v>
          </cell>
          <cell r="G490">
            <v>219.1</v>
          </cell>
          <cell r="H490" t="str">
            <v>0,002</v>
          </cell>
        </row>
      </sheetData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f divers"/>
      <sheetName val="Tarif Bourgeat"/>
      <sheetName val="Tarif Tournus"/>
      <sheetName val="Tarif Sopacom"/>
      <sheetName val="Tarif Wintherhalter"/>
      <sheetName val="Tarif Comenda"/>
      <sheetName val="Tarif dagard"/>
      <sheetName val="Tarif friginox"/>
      <sheetName val="Tarif inoxyform"/>
      <sheetName val="Tarif Frima"/>
      <sheetName val="Tarif rosinox"/>
      <sheetName val="Tarif Capic"/>
      <sheetName val="vauconsant"/>
      <sheetName val="Liste équipements base"/>
      <sheetName val="Liste équipements"/>
      <sheetName val="Synthèse par local"/>
      <sheetName val="rayonnages"/>
      <sheetName val="caniveaux aco"/>
      <sheetName val="lavage comenda"/>
      <sheetName val="Inox tournus"/>
      <sheetName val="divers"/>
      <sheetName val="froid"/>
      <sheetName val="Présentation du projet"/>
      <sheetName val="Généralités"/>
      <sheetName val="Présentation des phases"/>
      <sheetName val="Liste DSV"/>
      <sheetName val="Bilan ventilation"/>
      <sheetName val="chiffrage cloisons"/>
      <sheetName val="Vest bur"/>
      <sheetName val="Poub Recep"/>
      <sheetName val="Réserves"/>
      <sheetName val="stock froid"/>
      <sheetName val="Deb leg"/>
      <sheetName val="Prep f"/>
      <sheetName val="Pâtis"/>
      <sheetName val="cuis base"/>
      <sheetName val="Cuis 800 "/>
      <sheetName val="Cuis 900"/>
      <sheetName val="Cuis AG"/>
      <sheetName val="batterie"/>
      <sheetName val="Laverie G"/>
      <sheetName val="Laverie T"/>
      <sheetName val="K les rotis"/>
      <sheetName val="K les metisses"/>
      <sheetName val="K les vapeurs"/>
      <sheetName val="K les mijotés"/>
      <sheetName val="K les grillés"/>
      <sheetName val="K le snack"/>
      <sheetName val="salle caf"/>
      <sheetName val="kiosqu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2134">
          <cell r="F2134">
            <v>0.8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 ppe Rad"/>
      <sheetName val="Schéma ppe rad"/>
      <sheetName val="Cal ppe CTA"/>
      <sheetName val="Schéma ppe CTA"/>
    </sheetNames>
    <sheetDataSet>
      <sheetData sheetId="0">
        <row r="87">
          <cell r="F87">
            <v>0.23828656257825703</v>
          </cell>
        </row>
        <row r="88">
          <cell r="F88">
            <v>998.32269287109375</v>
          </cell>
        </row>
      </sheetData>
      <sheetData sheetId="1"/>
      <sheetData sheetId="2"/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gistre"/>
      <sheetName val="PG"/>
      <sheetName val="Cal réseaux"/>
      <sheetName val="Table réseaux"/>
      <sheetName val="Expansion"/>
      <sheetName val="Pompe"/>
    </sheetNames>
    <sheetDataSet>
      <sheetData sheetId="0"/>
      <sheetData sheetId="1"/>
      <sheetData sheetId="2"/>
      <sheetData sheetId="3">
        <row r="4">
          <cell r="A4" t="str">
            <v>==============</v>
          </cell>
          <cell r="B4" t="str">
            <v>==============</v>
          </cell>
          <cell r="C4" t="str">
            <v>==============</v>
          </cell>
        </row>
        <row r="5">
          <cell r="A5" t="str">
            <v>Robinetterie</v>
          </cell>
          <cell r="B5" t="str">
            <v>standard</v>
          </cell>
          <cell r="K5" t="str">
            <v>Elément réseaux</v>
          </cell>
        </row>
        <row r="6">
          <cell r="A6" t="str">
            <v>==============</v>
          </cell>
          <cell r="B6" t="str">
            <v>==============</v>
          </cell>
          <cell r="C6" t="str">
            <v>==============</v>
          </cell>
          <cell r="K6" t="str">
            <v>- Réseau de distribution</v>
          </cell>
        </row>
        <row r="7">
          <cell r="A7">
            <v>12</v>
          </cell>
          <cell r="B7" t="str">
            <v>Robinet.</v>
          </cell>
          <cell r="C7" t="str">
            <v>DN12 - 3/8"</v>
          </cell>
          <cell r="E7">
            <v>9.5250000000000004</v>
          </cell>
          <cell r="F7" t="str">
            <v xml:space="preserve"> ---------------</v>
          </cell>
          <cell r="G7" t="str">
            <v xml:space="preserve"> -------------</v>
          </cell>
          <cell r="H7">
            <v>0.01</v>
          </cell>
          <cell r="K7" t="str">
            <v>- Réseau d'alimentation chauffage</v>
          </cell>
        </row>
        <row r="8">
          <cell r="A8">
            <v>15</v>
          </cell>
          <cell r="B8" t="str">
            <v>Robinet.</v>
          </cell>
          <cell r="C8" t="str">
            <v>DN15 - 1/2"</v>
          </cell>
          <cell r="E8">
            <v>12.7</v>
          </cell>
          <cell r="F8" t="str">
            <v xml:space="preserve"> ---------------</v>
          </cell>
          <cell r="G8" t="str">
            <v xml:space="preserve"> -------------</v>
          </cell>
          <cell r="H8">
            <v>0.01</v>
          </cell>
        </row>
        <row r="9">
          <cell r="A9">
            <v>20</v>
          </cell>
          <cell r="B9" t="str">
            <v>Robinet.</v>
          </cell>
          <cell r="C9" t="str">
            <v>DN20 - 3/4"</v>
          </cell>
          <cell r="E9">
            <v>19.05</v>
          </cell>
          <cell r="F9" t="str">
            <v xml:space="preserve"> ---------------</v>
          </cell>
          <cell r="G9" t="str">
            <v xml:space="preserve"> -------------</v>
          </cell>
          <cell r="H9">
            <v>0.01</v>
          </cell>
          <cell r="K9" t="str">
            <v>Robinetterie d'isolement (entièrrement ouverte)</v>
          </cell>
        </row>
        <row r="10">
          <cell r="A10">
            <v>25</v>
          </cell>
          <cell r="B10" t="str">
            <v>Robinet.</v>
          </cell>
          <cell r="C10" t="str">
            <v>DN25 - 1"</v>
          </cell>
          <cell r="E10">
            <v>25.4</v>
          </cell>
          <cell r="F10" t="str">
            <v xml:space="preserve"> ---------------</v>
          </cell>
          <cell r="G10" t="str">
            <v xml:space="preserve"> -------------</v>
          </cell>
          <cell r="H10">
            <v>0.01</v>
          </cell>
          <cell r="K10" t="str">
            <v>- Robinet vanne</v>
          </cell>
          <cell r="L10">
            <v>8</v>
          </cell>
        </row>
        <row r="11">
          <cell r="A11">
            <v>32</v>
          </cell>
          <cell r="B11" t="str">
            <v>Robinet.</v>
          </cell>
          <cell r="C11" t="str">
            <v>DN32 - 1 1/4"</v>
          </cell>
          <cell r="E11">
            <v>31.75</v>
          </cell>
          <cell r="F11" t="str">
            <v xml:space="preserve"> ---------------</v>
          </cell>
          <cell r="G11" t="str">
            <v xml:space="preserve"> -------------</v>
          </cell>
          <cell r="H11">
            <v>0.01</v>
          </cell>
          <cell r="K11" t="str">
            <v>- Robinet soupape</v>
          </cell>
          <cell r="L11">
            <v>340</v>
          </cell>
        </row>
        <row r="12">
          <cell r="A12">
            <v>40</v>
          </cell>
          <cell r="B12" t="str">
            <v>Robinet.</v>
          </cell>
          <cell r="C12" t="str">
            <v>DN40 - 1.5"</v>
          </cell>
          <cell r="E12">
            <v>38.1</v>
          </cell>
          <cell r="F12" t="str">
            <v xml:space="preserve"> ---------------</v>
          </cell>
          <cell r="G12" t="str">
            <v xml:space="preserve"> -------------</v>
          </cell>
          <cell r="H12">
            <v>0.01</v>
          </cell>
          <cell r="K12" t="str">
            <v>- Robinet soupape, angle 45°</v>
          </cell>
          <cell r="L12">
            <v>55</v>
          </cell>
        </row>
        <row r="13">
          <cell r="A13">
            <v>50</v>
          </cell>
          <cell r="B13" t="str">
            <v>Robinet.</v>
          </cell>
          <cell r="C13" t="str">
            <v>DN50 - 2"</v>
          </cell>
          <cell r="E13">
            <v>50.8</v>
          </cell>
          <cell r="F13" t="str">
            <v xml:space="preserve"> ---------------</v>
          </cell>
          <cell r="G13" t="str">
            <v xml:space="preserve"> -------------</v>
          </cell>
          <cell r="H13">
            <v>0.01</v>
          </cell>
          <cell r="K13" t="str">
            <v>- Robinet soupape, angle 90°</v>
          </cell>
          <cell r="L13">
            <v>150</v>
          </cell>
        </row>
        <row r="14">
          <cell r="A14">
            <v>65</v>
          </cell>
          <cell r="B14" t="str">
            <v>Robinet.</v>
          </cell>
          <cell r="C14" t="str">
            <v>DN65 - 2.5"</v>
          </cell>
          <cell r="E14">
            <v>63.5</v>
          </cell>
          <cell r="F14" t="str">
            <v xml:space="preserve"> ---------------</v>
          </cell>
          <cell r="G14" t="str">
            <v xml:space="preserve"> -------------</v>
          </cell>
          <cell r="H14">
            <v>0.01</v>
          </cell>
          <cell r="K14" t="str">
            <v>- Vanne papillon (2" to 8")</v>
          </cell>
          <cell r="L14">
            <v>45</v>
          </cell>
        </row>
        <row r="15">
          <cell r="A15">
            <v>80</v>
          </cell>
          <cell r="B15" t="str">
            <v>Robinet.</v>
          </cell>
          <cell r="C15" t="str">
            <v>DN80 - 3"</v>
          </cell>
          <cell r="E15">
            <v>76.2</v>
          </cell>
          <cell r="F15" t="str">
            <v xml:space="preserve"> ---------------</v>
          </cell>
          <cell r="G15" t="str">
            <v xml:space="preserve"> -------------</v>
          </cell>
          <cell r="H15">
            <v>0.01</v>
          </cell>
          <cell r="K15" t="str">
            <v>- Robinet boisseau - d1/d2 -1</v>
          </cell>
          <cell r="L15">
            <v>3</v>
          </cell>
        </row>
        <row r="16">
          <cell r="A16">
            <v>100</v>
          </cell>
          <cell r="B16" t="str">
            <v>Robinet.</v>
          </cell>
          <cell r="C16" t="str">
            <v>DN100 - 4"</v>
          </cell>
          <cell r="E16">
            <v>101.6</v>
          </cell>
          <cell r="F16" t="str">
            <v xml:space="preserve"> ---------------</v>
          </cell>
          <cell r="G16" t="str">
            <v xml:space="preserve"> -------------</v>
          </cell>
          <cell r="H16">
            <v>0.01</v>
          </cell>
          <cell r="K16" t="str">
            <v>- Robinet boisseau - d1/d2 = 0.8</v>
          </cell>
          <cell r="L16">
            <v>7</v>
          </cell>
        </row>
        <row r="17">
          <cell r="A17">
            <v>125</v>
          </cell>
          <cell r="B17" t="str">
            <v>Robinet.</v>
          </cell>
          <cell r="C17" t="str">
            <v>DN125 - 5"</v>
          </cell>
          <cell r="E17">
            <v>127</v>
          </cell>
          <cell r="F17" t="str">
            <v xml:space="preserve"> ---------------</v>
          </cell>
          <cell r="G17" t="str">
            <v xml:space="preserve"> -------------</v>
          </cell>
          <cell r="H17">
            <v>0.01</v>
          </cell>
          <cell r="K17" t="str">
            <v>- Robinet boisseau - d1/d2 = 0.7</v>
          </cell>
          <cell r="L17">
            <v>12</v>
          </cell>
        </row>
        <row r="18">
          <cell r="A18">
            <v>150</v>
          </cell>
          <cell r="B18" t="str">
            <v>Robinet.</v>
          </cell>
          <cell r="C18" t="str">
            <v>DN150 - 6"</v>
          </cell>
          <cell r="E18">
            <v>152.4</v>
          </cell>
          <cell r="F18" t="str">
            <v xml:space="preserve"> ---------------</v>
          </cell>
          <cell r="G18" t="str">
            <v xml:space="preserve"> -------------</v>
          </cell>
          <cell r="H18">
            <v>0.01</v>
          </cell>
          <cell r="K18" t="str">
            <v>- Robinet boisseau - d1/d2 = 0.6</v>
          </cell>
          <cell r="L18">
            <v>23</v>
          </cell>
        </row>
        <row r="19">
          <cell r="A19">
            <v>200</v>
          </cell>
          <cell r="B19" t="str">
            <v>Robinet.</v>
          </cell>
          <cell r="C19" t="str">
            <v>DN200 - 8"</v>
          </cell>
          <cell r="E19">
            <v>203.2</v>
          </cell>
          <cell r="F19" t="str">
            <v xml:space="preserve"> ---------------</v>
          </cell>
          <cell r="G19" t="str">
            <v xml:space="preserve"> -------------</v>
          </cell>
          <cell r="H19">
            <v>0.01</v>
          </cell>
        </row>
        <row r="20">
          <cell r="A20">
            <v>250</v>
          </cell>
          <cell r="B20" t="str">
            <v>Robinet.</v>
          </cell>
          <cell r="C20" t="str">
            <v>DN250 - 10"</v>
          </cell>
          <cell r="E20">
            <v>254</v>
          </cell>
          <cell r="F20" t="str">
            <v xml:space="preserve"> ---------------</v>
          </cell>
          <cell r="G20" t="str">
            <v xml:space="preserve"> -------------</v>
          </cell>
          <cell r="H20">
            <v>0.01</v>
          </cell>
          <cell r="K20" t="str">
            <v>Clapet de non retour (entièrrement ouvert)</v>
          </cell>
        </row>
        <row r="21">
          <cell r="A21">
            <v>300</v>
          </cell>
          <cell r="B21" t="str">
            <v>Robinet.</v>
          </cell>
          <cell r="C21" t="str">
            <v>DN300 - 12"</v>
          </cell>
          <cell r="E21">
            <v>304.8</v>
          </cell>
          <cell r="F21" t="str">
            <v xml:space="preserve"> ---------------</v>
          </cell>
          <cell r="G21" t="str">
            <v xml:space="preserve"> -------------</v>
          </cell>
          <cell r="H21">
            <v>0.01</v>
          </cell>
          <cell r="K21" t="str">
            <v>- Clapet sécurité à soupape</v>
          </cell>
          <cell r="L21">
            <v>600</v>
          </cell>
        </row>
        <row r="22">
          <cell r="A22">
            <v>350</v>
          </cell>
          <cell r="B22" t="str">
            <v>Robinet.</v>
          </cell>
          <cell r="C22" t="str">
            <v>DN350 - 14"</v>
          </cell>
          <cell r="E22">
            <v>355.6</v>
          </cell>
          <cell r="F22" t="str">
            <v xml:space="preserve"> ---------------</v>
          </cell>
          <cell r="G22" t="str">
            <v xml:space="preserve"> -------------</v>
          </cell>
          <cell r="H22">
            <v>0.01</v>
          </cell>
          <cell r="K22" t="str">
            <v>- Clapet sécurité à battant</v>
          </cell>
          <cell r="L22">
            <v>50</v>
          </cell>
        </row>
        <row r="23">
          <cell r="A23">
            <v>400</v>
          </cell>
          <cell r="B23" t="str">
            <v>Robinet.</v>
          </cell>
          <cell r="C23" t="str">
            <v>DN400 - 16"</v>
          </cell>
          <cell r="E23">
            <v>406.4</v>
          </cell>
          <cell r="F23" t="str">
            <v xml:space="preserve"> ---------------</v>
          </cell>
          <cell r="G23" t="str">
            <v xml:space="preserve"> -------------</v>
          </cell>
          <cell r="H23">
            <v>0.01</v>
          </cell>
          <cell r="K23" t="str">
            <v>- Clapet sécurité à disque</v>
          </cell>
          <cell r="L23">
            <v>40</v>
          </cell>
        </row>
        <row r="24">
          <cell r="K24" t="str">
            <v>- Clapet-crépine + filtre</v>
          </cell>
          <cell r="L24">
            <v>420</v>
          </cell>
        </row>
        <row r="25">
          <cell r="A25" t="str">
            <v>==============</v>
          </cell>
          <cell r="B25" t="str">
            <v>==============</v>
          </cell>
          <cell r="C25" t="str">
            <v>==============</v>
          </cell>
          <cell r="D25" t="str">
            <v>==============</v>
          </cell>
          <cell r="E25" t="str">
            <v>==============</v>
          </cell>
          <cell r="K25" t="str">
            <v>- Clapet-crépine</v>
          </cell>
          <cell r="L25">
            <v>75</v>
          </cell>
        </row>
        <row r="26">
          <cell r="A26" t="str">
            <v>Réseaux T1 &amp; T2</v>
          </cell>
          <cell r="B26" t="str">
            <v>Tube acier soudé</v>
          </cell>
          <cell r="C26" t="str">
            <v>Norme NFA 49145</v>
          </cell>
          <cell r="D26" t="str">
            <v>Pression</v>
          </cell>
          <cell r="E26" t="str">
            <v>10 &amp; 16</v>
          </cell>
          <cell r="F26" t="str">
            <v>bar</v>
          </cell>
        </row>
        <row r="27">
          <cell r="A27" t="str">
            <v>==============</v>
          </cell>
          <cell r="B27" t="str">
            <v>==============</v>
          </cell>
          <cell r="C27" t="str">
            <v>==============</v>
          </cell>
          <cell r="D27" t="str">
            <v>==============</v>
          </cell>
          <cell r="E27" t="str">
            <v>==============</v>
          </cell>
        </row>
        <row r="28">
          <cell r="A28" t="str">
            <v>12T</v>
          </cell>
          <cell r="B28" t="str">
            <v>acier T1</v>
          </cell>
          <cell r="C28" t="str">
            <v>12/17</v>
          </cell>
          <cell r="D28" t="str">
            <v>DN2 - 3/8"</v>
          </cell>
          <cell r="E28">
            <v>13.2</v>
          </cell>
          <cell r="F28" t="str">
            <v>2</v>
          </cell>
          <cell r="G28">
            <v>17.2</v>
          </cell>
          <cell r="H28">
            <v>0.06</v>
          </cell>
          <cell r="K28" t="str">
            <v>Raccords canalisations</v>
          </cell>
        </row>
        <row r="29">
          <cell r="A29" t="str">
            <v>15T</v>
          </cell>
          <cell r="B29" t="str">
            <v>acier T1</v>
          </cell>
          <cell r="C29" t="str">
            <v>15/21</v>
          </cell>
          <cell r="D29" t="str">
            <v>DN15 - 1/2"</v>
          </cell>
          <cell r="E29">
            <v>16.600000000000001</v>
          </cell>
          <cell r="F29" t="str">
            <v>2,35</v>
          </cell>
          <cell r="G29">
            <v>21.3</v>
          </cell>
          <cell r="H29">
            <v>0.06</v>
          </cell>
          <cell r="K29" t="str">
            <v>- Té (dérivation)</v>
          </cell>
          <cell r="L29">
            <v>60</v>
          </cell>
        </row>
        <row r="30">
          <cell r="A30" t="str">
            <v>20T</v>
          </cell>
          <cell r="B30" t="str">
            <v>acier T1</v>
          </cell>
          <cell r="C30" t="str">
            <v>20/27</v>
          </cell>
          <cell r="D30" t="str">
            <v>DN20 - 3/4"</v>
          </cell>
          <cell r="E30">
            <v>22.2</v>
          </cell>
          <cell r="F30" t="str">
            <v>2,35</v>
          </cell>
          <cell r="G30">
            <v>26.9</v>
          </cell>
          <cell r="H30">
            <v>0.06</v>
          </cell>
          <cell r="K30" t="str">
            <v>- Té (passage ligne droite)</v>
          </cell>
          <cell r="L30">
            <v>20</v>
          </cell>
        </row>
        <row r="31">
          <cell r="A31" t="str">
            <v>25T</v>
          </cell>
          <cell r="B31" t="str">
            <v>acier T1</v>
          </cell>
          <cell r="C31" t="str">
            <v>26/34</v>
          </cell>
          <cell r="D31" t="str">
            <v>DN25 - 1"</v>
          </cell>
          <cell r="E31">
            <v>27.9</v>
          </cell>
          <cell r="F31" t="str">
            <v>2,9</v>
          </cell>
          <cell r="G31">
            <v>33.700000000000003</v>
          </cell>
          <cell r="H31">
            <v>0.06</v>
          </cell>
        </row>
        <row r="32">
          <cell r="A32" t="str">
            <v>32T</v>
          </cell>
          <cell r="B32" t="str">
            <v>acier T1</v>
          </cell>
          <cell r="C32" t="str">
            <v>33/42</v>
          </cell>
          <cell r="D32" t="str">
            <v>DN32 - 1 1/4"</v>
          </cell>
          <cell r="E32">
            <v>36.6</v>
          </cell>
          <cell r="F32" t="str">
            <v>2,9</v>
          </cell>
          <cell r="G32">
            <v>42.4</v>
          </cell>
          <cell r="H32">
            <v>0.06</v>
          </cell>
          <cell r="K32" t="str">
            <v>- Coude standard 90°</v>
          </cell>
          <cell r="L32">
            <v>30</v>
          </cell>
        </row>
        <row r="33">
          <cell r="A33" t="str">
            <v>40T</v>
          </cell>
          <cell r="B33" t="str">
            <v>acier T1</v>
          </cell>
          <cell r="C33" t="str">
            <v>40/49</v>
          </cell>
          <cell r="D33" t="str">
            <v>DN40 - 1.5"</v>
          </cell>
          <cell r="E33">
            <v>42.5</v>
          </cell>
          <cell r="F33" t="str">
            <v>3,25</v>
          </cell>
          <cell r="G33">
            <v>48.3</v>
          </cell>
          <cell r="H33">
            <v>0.06</v>
          </cell>
          <cell r="K33" t="str">
            <v>- Coude standard 45°</v>
          </cell>
          <cell r="L33">
            <v>16</v>
          </cell>
        </row>
        <row r="34">
          <cell r="A34" t="str">
            <v>50T</v>
          </cell>
          <cell r="B34" t="str">
            <v>acier T1</v>
          </cell>
          <cell r="C34" t="str">
            <v>50/60</v>
          </cell>
          <cell r="D34" t="str">
            <v>DN50 - 2"</v>
          </cell>
          <cell r="E34">
            <v>53.8</v>
          </cell>
          <cell r="F34" t="str">
            <v>3,25</v>
          </cell>
          <cell r="G34">
            <v>60.3</v>
          </cell>
          <cell r="H34">
            <v>0.06</v>
          </cell>
          <cell r="K34" t="str">
            <v>- Coude long rayon 90°</v>
          </cell>
          <cell r="L34">
            <v>16</v>
          </cell>
        </row>
        <row r="35">
          <cell r="A35" t="str">
            <v>65T</v>
          </cell>
          <cell r="B35" t="str">
            <v>acier T1</v>
          </cell>
          <cell r="C35" t="str">
            <v>66/76</v>
          </cell>
          <cell r="D35" t="str">
            <v>DN65 - 2.5"</v>
          </cell>
          <cell r="E35">
            <v>69.599999999999994</v>
          </cell>
          <cell r="F35" t="str">
            <v>3,25</v>
          </cell>
          <cell r="G35">
            <v>76.099999999999994</v>
          </cell>
          <cell r="H35">
            <v>0.06</v>
          </cell>
          <cell r="K35" t="str">
            <v>- Coude petit rayon</v>
          </cell>
          <cell r="L35">
            <v>50</v>
          </cell>
        </row>
        <row r="36">
          <cell r="A36" t="str">
            <v>80T</v>
          </cell>
          <cell r="B36" t="str">
            <v>acier T1</v>
          </cell>
          <cell r="C36" t="str">
            <v>80/90</v>
          </cell>
          <cell r="D36" t="str">
            <v>DN80 - 3"</v>
          </cell>
          <cell r="E36">
            <v>82.4</v>
          </cell>
          <cell r="F36" t="str">
            <v>3,25</v>
          </cell>
          <cell r="G36">
            <v>88.9</v>
          </cell>
          <cell r="H36">
            <v>0.06</v>
          </cell>
          <cell r="K36" t="str">
            <v>- Coude 90° - r/d = 1</v>
          </cell>
          <cell r="L36">
            <v>20</v>
          </cell>
        </row>
        <row r="37">
          <cell r="A37" t="str">
            <v>100T</v>
          </cell>
          <cell r="B37" t="str">
            <v>acier T3</v>
          </cell>
          <cell r="C37" t="str">
            <v>107/114</v>
          </cell>
          <cell r="D37" t="str">
            <v>DN100 - 4"</v>
          </cell>
          <cell r="E37">
            <v>105.3</v>
          </cell>
          <cell r="F37" t="str">
            <v>4,5</v>
          </cell>
          <cell r="G37">
            <v>114.3</v>
          </cell>
          <cell r="H37">
            <v>0.06</v>
          </cell>
          <cell r="K37" t="str">
            <v>- Coude 90° - r/d = 1,5</v>
          </cell>
          <cell r="L37">
            <v>14</v>
          </cell>
        </row>
        <row r="38">
          <cell r="A38" t="str">
            <v>125T</v>
          </cell>
          <cell r="B38" t="str">
            <v>acier T3</v>
          </cell>
          <cell r="C38" t="str">
            <v>139 / 7</v>
          </cell>
          <cell r="D38" t="str">
            <v>DN125 - 5"</v>
          </cell>
          <cell r="E38">
            <v>130.69999999999999</v>
          </cell>
          <cell r="F38" t="str">
            <v>4,5</v>
          </cell>
          <cell r="G38">
            <v>139.69999999999999</v>
          </cell>
          <cell r="H38">
            <v>0.06</v>
          </cell>
          <cell r="K38" t="str">
            <v>- Coude 90° - r/d = 2</v>
          </cell>
          <cell r="L38">
            <v>12</v>
          </cell>
        </row>
        <row r="39">
          <cell r="A39" t="str">
            <v>150T</v>
          </cell>
          <cell r="B39" t="str">
            <v>acier T10</v>
          </cell>
          <cell r="C39" t="str">
            <v>168,3 / 4,5</v>
          </cell>
          <cell r="D39" t="str">
            <v>DN150 - 6"</v>
          </cell>
          <cell r="E39">
            <v>159.30000000000001</v>
          </cell>
          <cell r="F39" t="str">
            <v>4,5</v>
          </cell>
          <cell r="G39">
            <v>168.3</v>
          </cell>
          <cell r="H39">
            <v>4.4999999999999998E-2</v>
          </cell>
          <cell r="K39" t="str">
            <v>- Coude 90° - r/d = 3</v>
          </cell>
          <cell r="L39">
            <v>12</v>
          </cell>
        </row>
        <row r="40">
          <cell r="A40" t="str">
            <v>200T</v>
          </cell>
          <cell r="B40" t="str">
            <v>acier T10</v>
          </cell>
          <cell r="C40" t="str">
            <v>219,1 / 6,3</v>
          </cell>
          <cell r="D40" t="str">
            <v>DN200 - 8"</v>
          </cell>
          <cell r="E40">
            <v>207.3</v>
          </cell>
          <cell r="F40" t="str">
            <v>5,9</v>
          </cell>
          <cell r="G40">
            <v>219.1</v>
          </cell>
          <cell r="H40">
            <v>4.4999999999999998E-2</v>
          </cell>
          <cell r="K40" t="str">
            <v>- Coude 90° - r/d = 4</v>
          </cell>
          <cell r="L40">
            <v>14</v>
          </cell>
        </row>
        <row r="41">
          <cell r="A41" t="str">
            <v>250T</v>
          </cell>
          <cell r="B41" t="str">
            <v>acier T10</v>
          </cell>
          <cell r="C41" t="str">
            <v>273 / 6,3</v>
          </cell>
          <cell r="D41" t="str">
            <v>DN250 - 10"</v>
          </cell>
          <cell r="E41">
            <v>260.39999999999998</v>
          </cell>
          <cell r="F41" t="str">
            <v>6,3</v>
          </cell>
          <cell r="G41">
            <v>273</v>
          </cell>
          <cell r="H41">
            <v>4.4999999999999998E-2</v>
          </cell>
          <cell r="K41" t="str">
            <v>- Coude 90° - r/d = 6</v>
          </cell>
          <cell r="L41">
            <v>17</v>
          </cell>
        </row>
        <row r="42">
          <cell r="A42" t="str">
            <v>300T</v>
          </cell>
          <cell r="B42" t="str">
            <v>acier T10</v>
          </cell>
          <cell r="C42" t="str">
            <v>323,9 / 7,1</v>
          </cell>
          <cell r="D42" t="str">
            <v>DN300 - 12"</v>
          </cell>
          <cell r="E42">
            <v>309.7</v>
          </cell>
          <cell r="F42" t="str">
            <v>7,1</v>
          </cell>
          <cell r="G42">
            <v>323.89999999999998</v>
          </cell>
          <cell r="H42">
            <v>4.4999999999999998E-2</v>
          </cell>
          <cell r="K42" t="str">
            <v>- Coude 90° - r/d = 8</v>
          </cell>
          <cell r="L42">
            <v>24</v>
          </cell>
        </row>
        <row r="43">
          <cell r="A43" t="str">
            <v>350T</v>
          </cell>
          <cell r="B43" t="str">
            <v>acier T10</v>
          </cell>
          <cell r="C43" t="str">
            <v>368 / 8</v>
          </cell>
          <cell r="D43" t="str">
            <v>DN350 - 14"</v>
          </cell>
          <cell r="E43">
            <v>352</v>
          </cell>
          <cell r="F43" t="str">
            <v>8</v>
          </cell>
          <cell r="G43">
            <v>368</v>
          </cell>
          <cell r="H43">
            <v>4.4999999999999998E-2</v>
          </cell>
          <cell r="K43" t="str">
            <v>- Coude 90° - r/d = 10</v>
          </cell>
          <cell r="L43">
            <v>30</v>
          </cell>
        </row>
        <row r="44">
          <cell r="A44" t="str">
            <v>400T</v>
          </cell>
          <cell r="B44" t="str">
            <v>acier T10</v>
          </cell>
          <cell r="C44" t="str">
            <v>419 / 10</v>
          </cell>
          <cell r="D44" t="str">
            <v>DN400 - 16"</v>
          </cell>
          <cell r="E44">
            <v>399</v>
          </cell>
          <cell r="F44" t="str">
            <v>10</v>
          </cell>
          <cell r="G44">
            <v>419</v>
          </cell>
          <cell r="H44">
            <v>4.4999999999999998E-2</v>
          </cell>
          <cell r="K44" t="str">
            <v>- Coude 90° - r/d = 12</v>
          </cell>
          <cell r="L44">
            <v>34</v>
          </cell>
        </row>
        <row r="45">
          <cell r="K45" t="str">
            <v>- Coude 90° - r/d = 14</v>
          </cell>
          <cell r="L45">
            <v>38</v>
          </cell>
        </row>
        <row r="46">
          <cell r="A46" t="str">
            <v>Réseaux</v>
          </cell>
          <cell r="B46" t="str">
            <v>Acier Galva</v>
          </cell>
          <cell r="C46" t="str">
            <v>Basic</v>
          </cell>
          <cell r="D46" t="str">
            <v>Pression</v>
          </cell>
          <cell r="E46" t="str">
            <v>10 &amp; 16</v>
          </cell>
          <cell r="F46" t="str">
            <v>bar</v>
          </cell>
          <cell r="K46" t="str">
            <v>- Coude 90° - r/d = 20</v>
          </cell>
          <cell r="L46">
            <v>50</v>
          </cell>
        </row>
        <row r="47">
          <cell r="A47" t="str">
            <v>12TG</v>
          </cell>
          <cell r="B47" t="str">
            <v>acier galva T1</v>
          </cell>
          <cell r="C47" t="str">
            <v>12/17</v>
          </cell>
          <cell r="D47" t="str">
            <v>DN12 - 3/8"</v>
          </cell>
          <cell r="E47">
            <v>13.2</v>
          </cell>
          <cell r="F47" t="str">
            <v>2</v>
          </cell>
          <cell r="G47">
            <v>17.2</v>
          </cell>
          <cell r="H47">
            <v>0.15</v>
          </cell>
        </row>
        <row r="48">
          <cell r="A48" t="str">
            <v>15TG</v>
          </cell>
          <cell r="B48" t="str">
            <v>acier galva T1</v>
          </cell>
          <cell r="C48" t="str">
            <v>15/21</v>
          </cell>
          <cell r="D48" t="str">
            <v>DN15 - 1/2"</v>
          </cell>
          <cell r="E48">
            <v>16.600000000000001</v>
          </cell>
          <cell r="F48" t="str">
            <v>2,35</v>
          </cell>
          <cell r="G48">
            <v>21.3</v>
          </cell>
          <cell r="H48">
            <v>0.15</v>
          </cell>
          <cell r="K48" t="str">
            <v>- Mitre coudée : a = 30°</v>
          </cell>
          <cell r="L48">
            <v>8</v>
          </cell>
        </row>
        <row r="49">
          <cell r="A49" t="str">
            <v>20TG</v>
          </cell>
          <cell r="B49" t="str">
            <v>acier galva T1</v>
          </cell>
          <cell r="C49" t="str">
            <v>20/27</v>
          </cell>
          <cell r="D49" t="str">
            <v>DN20 - 3/4"</v>
          </cell>
          <cell r="E49">
            <v>22.2</v>
          </cell>
          <cell r="F49" t="str">
            <v>2,35</v>
          </cell>
          <cell r="G49">
            <v>26.9</v>
          </cell>
          <cell r="H49">
            <v>0.15</v>
          </cell>
          <cell r="K49" t="str">
            <v>- Mitre coudée : a = 45°</v>
          </cell>
          <cell r="L49">
            <v>15</v>
          </cell>
        </row>
        <row r="50">
          <cell r="A50" t="str">
            <v>25TG</v>
          </cell>
          <cell r="B50" t="str">
            <v>acier galva T1</v>
          </cell>
          <cell r="C50" t="str">
            <v>26/34</v>
          </cell>
          <cell r="D50" t="str">
            <v>DN25 - 1"</v>
          </cell>
          <cell r="E50">
            <v>27.9</v>
          </cell>
          <cell r="F50" t="str">
            <v>2,9</v>
          </cell>
          <cell r="G50">
            <v>33.700000000000003</v>
          </cell>
          <cell r="H50">
            <v>0.15</v>
          </cell>
          <cell r="K50" t="str">
            <v>- Mitre coudée : a = 60°</v>
          </cell>
          <cell r="L50">
            <v>25</v>
          </cell>
        </row>
        <row r="51">
          <cell r="A51" t="str">
            <v>32TG</v>
          </cell>
          <cell r="B51" t="str">
            <v>acier galva T1</v>
          </cell>
          <cell r="C51" t="str">
            <v>33/42</v>
          </cell>
          <cell r="D51" t="str">
            <v>DN32 - 1 1/4"</v>
          </cell>
          <cell r="E51">
            <v>36.6</v>
          </cell>
          <cell r="F51" t="str">
            <v>2,9</v>
          </cell>
          <cell r="G51">
            <v>42.4</v>
          </cell>
          <cell r="H51">
            <v>0.15</v>
          </cell>
          <cell r="K51" t="str">
            <v>- Mitre coudée : a = 90°</v>
          </cell>
          <cell r="L51">
            <v>60</v>
          </cell>
        </row>
        <row r="52">
          <cell r="A52" t="str">
            <v>40TG</v>
          </cell>
          <cell r="B52" t="str">
            <v>acier galva T1</v>
          </cell>
          <cell r="C52" t="str">
            <v>40/49</v>
          </cell>
          <cell r="D52" t="str">
            <v>DN40 - 1.5"</v>
          </cell>
          <cell r="E52">
            <v>42.5</v>
          </cell>
          <cell r="F52" t="str">
            <v>3,25</v>
          </cell>
          <cell r="G52">
            <v>48.3</v>
          </cell>
          <cell r="H52">
            <v>0.15</v>
          </cell>
          <cell r="K52" t="str">
            <v>- Coude 180°</v>
          </cell>
          <cell r="L52">
            <v>50</v>
          </cell>
        </row>
        <row r="53">
          <cell r="A53" t="str">
            <v>50TG</v>
          </cell>
          <cell r="B53" t="str">
            <v>acier galva T1</v>
          </cell>
          <cell r="C53" t="str">
            <v>50/60</v>
          </cell>
          <cell r="D53" t="str">
            <v>DN50 - 2"</v>
          </cell>
          <cell r="E53">
            <v>53.8</v>
          </cell>
          <cell r="F53" t="str">
            <v>3,25</v>
          </cell>
          <cell r="G53">
            <v>60.3</v>
          </cell>
          <cell r="H53">
            <v>0.15</v>
          </cell>
        </row>
        <row r="54">
          <cell r="A54" t="str">
            <v>65TG</v>
          </cell>
          <cell r="B54" t="str">
            <v>acier galva T1</v>
          </cell>
          <cell r="C54" t="str">
            <v>66/76</v>
          </cell>
          <cell r="D54" t="str">
            <v>DN65 - 2.5"</v>
          </cell>
          <cell r="E54">
            <v>69.599999999999994</v>
          </cell>
          <cell r="F54" t="str">
            <v>3,25</v>
          </cell>
          <cell r="G54">
            <v>76.099999999999994</v>
          </cell>
          <cell r="H54">
            <v>0.15</v>
          </cell>
          <cell r="K54" t="str">
            <v>Coefficients de résistance accessoires par changement de section</v>
          </cell>
        </row>
        <row r="55">
          <cell r="A55" t="str">
            <v>80TG</v>
          </cell>
          <cell r="B55" t="str">
            <v>acier galva T1</v>
          </cell>
          <cell r="C55" t="str">
            <v>80/90</v>
          </cell>
          <cell r="D55" t="str">
            <v>DN80 - 3"</v>
          </cell>
          <cell r="E55">
            <v>82.4</v>
          </cell>
          <cell r="F55" t="str">
            <v>3,25</v>
          </cell>
          <cell r="G55">
            <v>88.9</v>
          </cell>
          <cell r="H55">
            <v>0.15</v>
          </cell>
          <cell r="K55" t="str">
            <v>Changement de section (Accroissement)</v>
          </cell>
        </row>
        <row r="56">
          <cell r="A56" t="str">
            <v>100TG</v>
          </cell>
          <cell r="B56" t="str">
            <v>acier galva T3</v>
          </cell>
          <cell r="C56" t="str">
            <v>107/114</v>
          </cell>
          <cell r="D56" t="str">
            <v>DN100 - 4"</v>
          </cell>
          <cell r="E56">
            <v>105.3</v>
          </cell>
          <cell r="F56" t="str">
            <v>4,5</v>
          </cell>
          <cell r="G56">
            <v>114.3</v>
          </cell>
          <cell r="H56">
            <v>0.15</v>
          </cell>
          <cell r="K56" t="str">
            <v>- Réduction - d2/d1 = 0.90</v>
          </cell>
          <cell r="M56">
            <v>2.5999999999999999E-2</v>
          </cell>
        </row>
        <row r="57">
          <cell r="A57" t="str">
            <v>125TG</v>
          </cell>
          <cell r="B57" t="str">
            <v>acier galva T3</v>
          </cell>
          <cell r="C57" t="str">
            <v>139 / 7</v>
          </cell>
          <cell r="D57" t="str">
            <v>DN125 - 5"</v>
          </cell>
          <cell r="E57">
            <v>130.69999999999999</v>
          </cell>
          <cell r="F57" t="str">
            <v>4,5</v>
          </cell>
          <cell r="G57">
            <v>139.69999999999999</v>
          </cell>
          <cell r="H57">
            <v>0.15</v>
          </cell>
          <cell r="K57" t="str">
            <v>- Réduction - d2/d1 = 0.80</v>
          </cell>
          <cell r="M57">
            <v>0.13</v>
          </cell>
        </row>
        <row r="58">
          <cell r="A58" t="str">
            <v>150TG</v>
          </cell>
          <cell r="B58" t="str">
            <v>acier galva T10</v>
          </cell>
          <cell r="C58" t="str">
            <v>168,3 / 4,5</v>
          </cell>
          <cell r="D58" t="str">
            <v>DN150 - 6"</v>
          </cell>
          <cell r="E58">
            <v>159.30000000000001</v>
          </cell>
          <cell r="F58" t="str">
            <v>4,5</v>
          </cell>
          <cell r="G58">
            <v>168.3</v>
          </cell>
          <cell r="H58">
            <v>0.15</v>
          </cell>
          <cell r="K58" t="str">
            <v>- Réduction - d2/d1 = 0.75</v>
          </cell>
          <cell r="M58">
            <v>0.16</v>
          </cell>
        </row>
        <row r="59">
          <cell r="A59" t="str">
            <v>200TG</v>
          </cell>
          <cell r="B59" t="str">
            <v>acier galva T10</v>
          </cell>
          <cell r="C59" t="str">
            <v>219,1 / 6,3</v>
          </cell>
          <cell r="D59" t="str">
            <v>DN200 - 8"</v>
          </cell>
          <cell r="E59">
            <v>207.3</v>
          </cell>
          <cell r="F59" t="str">
            <v>5,9</v>
          </cell>
          <cell r="G59">
            <v>219.1</v>
          </cell>
          <cell r="H59">
            <v>0.15</v>
          </cell>
          <cell r="K59" t="str">
            <v>- Réduction - d2/d1 = 0.67</v>
          </cell>
          <cell r="M59">
            <v>0.28000000000000003</v>
          </cell>
        </row>
        <row r="60">
          <cell r="A60" t="str">
            <v>250TG</v>
          </cell>
          <cell r="B60" t="str">
            <v>acier galva T10</v>
          </cell>
          <cell r="C60" t="str">
            <v>273 / 6,3</v>
          </cell>
          <cell r="D60" t="str">
            <v>DN250 - 10"</v>
          </cell>
          <cell r="E60">
            <v>260.39999999999998</v>
          </cell>
          <cell r="F60" t="str">
            <v>6,3</v>
          </cell>
          <cell r="G60">
            <v>273</v>
          </cell>
          <cell r="H60">
            <v>0.15</v>
          </cell>
          <cell r="K60" t="str">
            <v>- Réduction - d2/d1 = 0.50</v>
          </cell>
          <cell r="M60">
            <v>0.5</v>
          </cell>
        </row>
        <row r="61">
          <cell r="A61" t="str">
            <v>300TG</v>
          </cell>
          <cell r="B61" t="str">
            <v>acier galva T10</v>
          </cell>
          <cell r="C61" t="str">
            <v>323,9 / 7,1</v>
          </cell>
          <cell r="D61" t="str">
            <v>DN300 - 12"</v>
          </cell>
          <cell r="E61">
            <v>309.7</v>
          </cell>
          <cell r="F61" t="str">
            <v>7,1</v>
          </cell>
          <cell r="G61">
            <v>323.89999999999998</v>
          </cell>
          <cell r="H61">
            <v>0.15</v>
          </cell>
          <cell r="K61" t="str">
            <v>Changement de section (rétricissement)</v>
          </cell>
          <cell r="M61">
            <v>8.0000000000000002E-3</v>
          </cell>
        </row>
        <row r="62">
          <cell r="K62" t="str">
            <v>- Réduction - d1/d2 = 0.90</v>
          </cell>
          <cell r="M62">
            <v>8.0000000000000002E-3</v>
          </cell>
        </row>
        <row r="63">
          <cell r="A63" t="str">
            <v>Réseaux T3</v>
          </cell>
          <cell r="B63" t="str">
            <v>Tube acier non soudé</v>
          </cell>
          <cell r="C63" t="str">
            <v>Norme NF A 49115</v>
          </cell>
          <cell r="D63" t="str">
            <v>Pression</v>
          </cell>
          <cell r="E63" t="str">
            <v>16 &amp; 25</v>
          </cell>
          <cell r="F63" t="str">
            <v>bar</v>
          </cell>
          <cell r="K63" t="str">
            <v>- Réduction - d1/d2 = 0.80</v>
          </cell>
          <cell r="M63">
            <v>4.1000000000000002E-2</v>
          </cell>
        </row>
        <row r="64">
          <cell r="A64" t="str">
            <v>12T3</v>
          </cell>
          <cell r="B64" t="str">
            <v>acier T3</v>
          </cell>
          <cell r="C64" t="str">
            <v>12/17</v>
          </cell>
          <cell r="D64" t="str">
            <v>DN12 - 3/8"</v>
          </cell>
          <cell r="E64">
            <v>12.5</v>
          </cell>
          <cell r="F64" t="str">
            <v>2,35</v>
          </cell>
          <cell r="G64">
            <v>17.2</v>
          </cell>
          <cell r="H64">
            <v>4.4999999999999998E-2</v>
          </cell>
          <cell r="K64" t="str">
            <v>- Réduction - d1/d2 = 0.75</v>
          </cell>
          <cell r="M64">
            <v>4.9000000000000002E-2</v>
          </cell>
        </row>
        <row r="65">
          <cell r="A65" t="str">
            <v>15T3</v>
          </cell>
          <cell r="B65" t="str">
            <v>acier T3</v>
          </cell>
          <cell r="C65" t="str">
            <v>15/21</v>
          </cell>
          <cell r="D65" t="str">
            <v>DN15 - 1/2"</v>
          </cell>
          <cell r="E65">
            <v>16</v>
          </cell>
          <cell r="F65" t="str">
            <v>2,65</v>
          </cell>
          <cell r="G65">
            <v>21.3</v>
          </cell>
          <cell r="H65">
            <v>4.4999999999999998E-2</v>
          </cell>
          <cell r="K65" t="str">
            <v>- Réduction - d1/d2 = 0.67</v>
          </cell>
          <cell r="M65">
            <v>8.5000000000000006E-2</v>
          </cell>
        </row>
        <row r="66">
          <cell r="A66" t="str">
            <v>20T3</v>
          </cell>
          <cell r="B66" t="str">
            <v>acier T3</v>
          </cell>
          <cell r="C66" t="str">
            <v>20/27</v>
          </cell>
          <cell r="D66" t="str">
            <v>DN20 - 3/4"</v>
          </cell>
          <cell r="E66">
            <v>21.6</v>
          </cell>
          <cell r="F66" t="str">
            <v>2,65</v>
          </cell>
          <cell r="G66">
            <v>26.9</v>
          </cell>
          <cell r="H66">
            <v>4.4999999999999998E-2</v>
          </cell>
          <cell r="K66" t="str">
            <v>- Réduction - d1/d2 = 0.50</v>
          </cell>
          <cell r="M66">
            <v>0.16</v>
          </cell>
        </row>
        <row r="67">
          <cell r="A67" t="str">
            <v>25T3</v>
          </cell>
          <cell r="B67" t="str">
            <v>acier T3</v>
          </cell>
          <cell r="C67" t="str">
            <v>26/34</v>
          </cell>
          <cell r="D67" t="str">
            <v>DN25 - 1"</v>
          </cell>
          <cell r="E67">
            <v>27.2</v>
          </cell>
          <cell r="F67" t="str">
            <v>3,25</v>
          </cell>
          <cell r="G67">
            <v>33.700000000000003</v>
          </cell>
          <cell r="H67">
            <v>4.4999999999999998E-2</v>
          </cell>
        </row>
        <row r="68">
          <cell r="A68" t="str">
            <v>32T3</v>
          </cell>
          <cell r="B68" t="str">
            <v>acier T3</v>
          </cell>
          <cell r="C68" t="str">
            <v>33/42</v>
          </cell>
          <cell r="D68" t="str">
            <v>DN32 - 1 1/4"</v>
          </cell>
          <cell r="E68">
            <v>35.9</v>
          </cell>
          <cell r="F68" t="str">
            <v>3,25</v>
          </cell>
          <cell r="G68">
            <v>42.4</v>
          </cell>
          <cell r="H68">
            <v>4.4999999999999998E-2</v>
          </cell>
          <cell r="K68" t="str">
            <v>Aspirations directes</v>
          </cell>
        </row>
        <row r="69">
          <cell r="A69" t="str">
            <v>40T3</v>
          </cell>
          <cell r="B69" t="str">
            <v>acier T3</v>
          </cell>
          <cell r="C69" t="str">
            <v>40/49</v>
          </cell>
          <cell r="D69" t="str">
            <v>DN40 - 1.5"</v>
          </cell>
          <cell r="E69">
            <v>41.8</v>
          </cell>
          <cell r="F69" t="str">
            <v>3,25</v>
          </cell>
          <cell r="G69">
            <v>48.3</v>
          </cell>
          <cell r="H69">
            <v>4.4999999999999998E-2</v>
          </cell>
          <cell r="K69" t="str">
            <v>- Entrée affleurante - r/d = 0.00 ()</v>
          </cell>
          <cell r="M69">
            <v>0.5</v>
          </cell>
        </row>
        <row r="70">
          <cell r="A70" t="str">
            <v>50T3</v>
          </cell>
          <cell r="B70" t="str">
            <v>acier T3</v>
          </cell>
          <cell r="C70" t="str">
            <v>50/60</v>
          </cell>
          <cell r="D70" t="str">
            <v>DN50 - 2"</v>
          </cell>
          <cell r="E70">
            <v>53</v>
          </cell>
          <cell r="F70" t="str">
            <v>3,65</v>
          </cell>
          <cell r="G70">
            <v>60.3</v>
          </cell>
          <cell r="H70">
            <v>4.4999999999999998E-2</v>
          </cell>
          <cell r="K70" t="str">
            <v>- Entrée affleurante - r/d = 0.02</v>
          </cell>
          <cell r="M70">
            <v>0.28000000000000003</v>
          </cell>
        </row>
        <row r="71">
          <cell r="A71" t="str">
            <v>65T3</v>
          </cell>
          <cell r="B71" t="str">
            <v>acier T3</v>
          </cell>
          <cell r="C71" t="str">
            <v>66/76</v>
          </cell>
          <cell r="D71" t="str">
            <v>DN65 - 2.5"</v>
          </cell>
          <cell r="E71">
            <v>68.8</v>
          </cell>
          <cell r="F71" t="str">
            <v>3,65</v>
          </cell>
          <cell r="G71">
            <v>76.099999999999994</v>
          </cell>
          <cell r="H71">
            <v>4.4999999999999998E-2</v>
          </cell>
          <cell r="K71" t="str">
            <v>- Entrée affleurante - r/d = 0.04</v>
          </cell>
          <cell r="M71">
            <v>0.24</v>
          </cell>
        </row>
        <row r="72">
          <cell r="A72" t="str">
            <v>80T3</v>
          </cell>
          <cell r="B72" t="str">
            <v>acier T3</v>
          </cell>
          <cell r="C72" t="str">
            <v>80/90</v>
          </cell>
          <cell r="D72" t="str">
            <v>DN80 - 3"</v>
          </cell>
          <cell r="E72">
            <v>80.8</v>
          </cell>
          <cell r="F72" t="str">
            <v>4,05</v>
          </cell>
          <cell r="G72">
            <v>88.9</v>
          </cell>
          <cell r="H72">
            <v>4.4999999999999998E-2</v>
          </cell>
          <cell r="K72" t="str">
            <v>- Entrée affleurante - r/d = 0.06</v>
          </cell>
          <cell r="M72">
            <v>0.15</v>
          </cell>
        </row>
        <row r="73">
          <cell r="A73" t="str">
            <v>100T3</v>
          </cell>
          <cell r="B73" t="str">
            <v>acier T3</v>
          </cell>
          <cell r="C73" t="str">
            <v>107/114</v>
          </cell>
          <cell r="D73" t="str">
            <v>DN100 - 4"</v>
          </cell>
          <cell r="E73">
            <v>105.3</v>
          </cell>
          <cell r="F73" t="str">
            <v>4,5</v>
          </cell>
          <cell r="G73">
            <v>114.3</v>
          </cell>
          <cell r="H73">
            <v>4.4999999999999998E-2</v>
          </cell>
          <cell r="K73" t="str">
            <v>- Entrée affleurante - r/d = 0.10</v>
          </cell>
          <cell r="M73">
            <v>0.09</v>
          </cell>
        </row>
        <row r="74">
          <cell r="A74" t="str">
            <v>125T3</v>
          </cell>
          <cell r="B74" t="str">
            <v>acier T3</v>
          </cell>
          <cell r="C74" t="str">
            <v>139,7 / 4</v>
          </cell>
          <cell r="D74" t="str">
            <v>DN125 - 5"</v>
          </cell>
          <cell r="E74">
            <v>130.69999999999999</v>
          </cell>
          <cell r="F74" t="str">
            <v>4,5</v>
          </cell>
          <cell r="G74">
            <v>139.69999999999999</v>
          </cell>
          <cell r="H74">
            <v>4.4999999999999998E-2</v>
          </cell>
          <cell r="K74" t="str">
            <v>- Entrée affleurante arrondie</v>
          </cell>
          <cell r="M74">
            <v>0.04</v>
          </cell>
        </row>
        <row r="75">
          <cell r="A75" t="str">
            <v>150T3</v>
          </cell>
          <cell r="B75" t="str">
            <v>acier T3</v>
          </cell>
          <cell r="C75" t="str">
            <v>165,1 / 4,5</v>
          </cell>
          <cell r="D75" t="str">
            <v>DN150 - 6"</v>
          </cell>
          <cell r="E75">
            <v>156.1</v>
          </cell>
          <cell r="F75" t="str">
            <v>4,5</v>
          </cell>
          <cell r="G75">
            <v>165.1</v>
          </cell>
          <cell r="H75">
            <v>4.4999999999999998E-2</v>
          </cell>
          <cell r="K75" t="str">
            <v xml:space="preserve">- Entrée de projection centripète tous types </v>
          </cell>
          <cell r="M75">
            <v>0.78</v>
          </cell>
        </row>
        <row r="76">
          <cell r="K76" t="str">
            <v>- Sortie canalisation</v>
          </cell>
          <cell r="M76">
            <v>1</v>
          </cell>
        </row>
        <row r="77">
          <cell r="A77" t="str">
            <v>Réseaux T10</v>
          </cell>
          <cell r="B77" t="str">
            <v>Tube acier non soudé</v>
          </cell>
          <cell r="C77" t="str">
            <v>Norme NFA 49112</v>
          </cell>
          <cell r="D77" t="str">
            <v xml:space="preserve">Pression </v>
          </cell>
          <cell r="E77" t="str">
            <v>36 bar</v>
          </cell>
        </row>
        <row r="78">
          <cell r="A78" t="str">
            <v>32T10</v>
          </cell>
          <cell r="B78" t="str">
            <v>acier T10</v>
          </cell>
          <cell r="C78" t="str">
            <v>33/42</v>
          </cell>
          <cell r="D78" t="str">
            <v>DN32 - 1 1/4"</v>
          </cell>
          <cell r="E78">
            <v>37.200000000000003</v>
          </cell>
          <cell r="F78" t="str">
            <v>2,6</v>
          </cell>
          <cell r="G78">
            <v>42.4</v>
          </cell>
          <cell r="H78">
            <v>4.4999999999999998E-2</v>
          </cell>
          <cell r="K78" t="str">
            <v>Comptage</v>
          </cell>
          <cell r="M78" t="str">
            <v>K Value</v>
          </cell>
        </row>
        <row r="79">
          <cell r="A79" t="str">
            <v>40T10</v>
          </cell>
          <cell r="B79" t="str">
            <v>acier T10</v>
          </cell>
          <cell r="C79" t="str">
            <v>40/49</v>
          </cell>
          <cell r="D79" t="str">
            <v>DN40 - 1.5"</v>
          </cell>
          <cell r="E79">
            <v>43.1</v>
          </cell>
          <cell r="F79" t="str">
            <v>2,6</v>
          </cell>
          <cell r="G79">
            <v>48.3</v>
          </cell>
          <cell r="H79">
            <v>4.4999999999999998E-2</v>
          </cell>
          <cell r="K79" t="str">
            <v>- Compteur disque (K : 3,4 à 10)</v>
          </cell>
          <cell r="M79">
            <v>10</v>
          </cell>
        </row>
        <row r="80">
          <cell r="A80" t="str">
            <v>50T10</v>
          </cell>
          <cell r="B80" t="str">
            <v>acier T10</v>
          </cell>
          <cell r="C80" t="str">
            <v>50/60</v>
          </cell>
          <cell r="D80" t="str">
            <v>DN50 - 2"</v>
          </cell>
          <cell r="E80">
            <v>54.5</v>
          </cell>
          <cell r="F80" t="str">
            <v>2,9</v>
          </cell>
          <cell r="G80">
            <v>60.3</v>
          </cell>
          <cell r="H80">
            <v>4.4999999999999998E-2</v>
          </cell>
          <cell r="K80" t="str">
            <v xml:space="preserve">- Compteur rotatif </v>
          </cell>
          <cell r="M80">
            <v>10</v>
          </cell>
        </row>
        <row r="81">
          <cell r="A81" t="str">
            <v>65T10</v>
          </cell>
          <cell r="B81" t="str">
            <v>acier T10</v>
          </cell>
          <cell r="C81" t="str">
            <v>66/76</v>
          </cell>
          <cell r="D81" t="str">
            <v>DN65 - 2.5"</v>
          </cell>
          <cell r="E81">
            <v>70.3</v>
          </cell>
          <cell r="F81" t="str">
            <v>2,9</v>
          </cell>
          <cell r="G81">
            <v>76.099999999999994</v>
          </cell>
          <cell r="H81">
            <v>4.4999999999999998E-2</v>
          </cell>
          <cell r="K81" t="str">
            <v>- Compteur piston</v>
          </cell>
          <cell r="M81">
            <v>15</v>
          </cell>
        </row>
        <row r="82">
          <cell r="A82" t="str">
            <v>80T10</v>
          </cell>
          <cell r="B82" t="str">
            <v>acier T10</v>
          </cell>
          <cell r="C82" t="str">
            <v>80/90</v>
          </cell>
          <cell r="D82" t="str">
            <v>DN80 - 3"</v>
          </cell>
          <cell r="E82">
            <v>82.5</v>
          </cell>
          <cell r="F82" t="str">
            <v>3,2</v>
          </cell>
          <cell r="G82">
            <v>88.9</v>
          </cell>
          <cell r="H82">
            <v>4.4999999999999998E-2</v>
          </cell>
          <cell r="K82" t="str">
            <v>- Compteur turbine (K : 5 à 7.5)</v>
          </cell>
          <cell r="M82">
            <v>7.5</v>
          </cell>
        </row>
        <row r="83">
          <cell r="A83" t="str">
            <v>90T10</v>
          </cell>
          <cell r="B83" t="str">
            <v>acier T10</v>
          </cell>
          <cell r="C83" t="str">
            <v>101.6/3.6</v>
          </cell>
          <cell r="D83">
            <v>3.5</v>
          </cell>
          <cell r="E83">
            <v>94.4</v>
          </cell>
          <cell r="F83" t="str">
            <v>3,6</v>
          </cell>
          <cell r="G83">
            <v>101.6</v>
          </cell>
          <cell r="H83">
            <v>4.4999999999999998E-2</v>
          </cell>
          <cell r="K83" t="str">
            <v>- Coudes ondulé intérieur</v>
          </cell>
          <cell r="M83" t="str">
            <v>1.3 - 1.6 fois la valeur pour coude lisse (times value for smooth bend)</v>
          </cell>
        </row>
        <row r="84">
          <cell r="A84" t="str">
            <v>95T10</v>
          </cell>
          <cell r="B84" t="str">
            <v>acier T10</v>
          </cell>
          <cell r="C84" t="str">
            <v>108/3.6</v>
          </cell>
          <cell r="D84" t="str">
            <v>---------</v>
          </cell>
          <cell r="E84">
            <v>100.8</v>
          </cell>
          <cell r="F84" t="str">
            <v>3,6</v>
          </cell>
          <cell r="G84">
            <v>108</v>
          </cell>
          <cell r="H84">
            <v>4.4999999999999998E-2</v>
          </cell>
        </row>
        <row r="85">
          <cell r="A85" t="str">
            <v>100T10</v>
          </cell>
          <cell r="B85" t="str">
            <v>acier T10</v>
          </cell>
          <cell r="C85" t="str">
            <v>107/114</v>
          </cell>
          <cell r="D85" t="str">
            <v>DN100 - 4"</v>
          </cell>
          <cell r="E85">
            <v>107.1</v>
          </cell>
          <cell r="F85" t="str">
            <v>3,6</v>
          </cell>
          <cell r="G85">
            <v>114.3</v>
          </cell>
          <cell r="H85">
            <v>4.4999999999999998E-2</v>
          </cell>
          <cell r="K85" t="str">
            <v>- Branchement radiateurs + robinetterie</v>
          </cell>
          <cell r="M85">
            <v>15</v>
          </cell>
        </row>
        <row r="86">
          <cell r="A86" t="str">
            <v>110T10</v>
          </cell>
          <cell r="B86" t="str">
            <v>acier T10</v>
          </cell>
          <cell r="C86" t="str">
            <v>133/4</v>
          </cell>
          <cell r="D86">
            <v>4.5</v>
          </cell>
          <cell r="E86">
            <v>125</v>
          </cell>
          <cell r="F86" t="str">
            <v>4</v>
          </cell>
          <cell r="G86">
            <v>133</v>
          </cell>
          <cell r="H86">
            <v>4.4999999999999998E-2</v>
          </cell>
          <cell r="K86" t="str">
            <v xml:space="preserve">- Piquage sur réseaux aller et  retour, </v>
          </cell>
        </row>
        <row r="87">
          <cell r="A87" t="str">
            <v>125T10</v>
          </cell>
          <cell r="B87" t="str">
            <v>acier T10</v>
          </cell>
          <cell r="C87" t="str">
            <v>139 / 4</v>
          </cell>
          <cell r="D87" t="str">
            <v>DN125 - 5"</v>
          </cell>
          <cell r="E87">
            <v>131.69999999999999</v>
          </cell>
          <cell r="F87" t="str">
            <v>4</v>
          </cell>
          <cell r="G87">
            <v>139.69999999999999</v>
          </cell>
          <cell r="H87">
            <v>4.4999999999999998E-2</v>
          </cell>
          <cell r="K87" t="str">
            <v xml:space="preserve">  + radiateur, robinetterie</v>
          </cell>
        </row>
        <row r="88">
          <cell r="A88" t="str">
            <v>140T10</v>
          </cell>
          <cell r="B88" t="str">
            <v>acier T10</v>
          </cell>
          <cell r="C88" t="str">
            <v>159/4.5</v>
          </cell>
          <cell r="D88">
            <v>5.5</v>
          </cell>
          <cell r="E88">
            <v>150</v>
          </cell>
          <cell r="F88" t="str">
            <v>4,5</v>
          </cell>
          <cell r="G88">
            <v>159</v>
          </cell>
          <cell r="H88">
            <v>4.4999999999999998E-2</v>
          </cell>
        </row>
        <row r="89">
          <cell r="A89" t="str">
            <v>150T10</v>
          </cell>
          <cell r="B89" t="str">
            <v>acier T10</v>
          </cell>
          <cell r="C89" t="str">
            <v>168,3 / 4,5</v>
          </cell>
          <cell r="D89" t="str">
            <v>DN150 - 6"</v>
          </cell>
          <cell r="E89">
            <v>159.30000000000001</v>
          </cell>
          <cell r="F89" t="str">
            <v>4,5</v>
          </cell>
          <cell r="G89">
            <v>168.3</v>
          </cell>
          <cell r="H89">
            <v>4.4999999999999998E-2</v>
          </cell>
          <cell r="K89" t="str">
            <v>- Ensemble chaudière + robinetterie</v>
          </cell>
          <cell r="M89">
            <v>12</v>
          </cell>
        </row>
        <row r="90">
          <cell r="A90" t="str">
            <v>175T10</v>
          </cell>
          <cell r="B90" t="str">
            <v>acier T10</v>
          </cell>
          <cell r="C90" t="str">
            <v>193.7/5.4</v>
          </cell>
          <cell r="D90">
            <v>7</v>
          </cell>
          <cell r="E90">
            <v>182.9</v>
          </cell>
          <cell r="F90" t="str">
            <v>5,4</v>
          </cell>
          <cell r="G90">
            <v>193.7</v>
          </cell>
          <cell r="H90">
            <v>4.4999999999999998E-2</v>
          </cell>
          <cell r="K90" t="str">
            <v xml:space="preserve">  Entrée et sortie chaudière y/c changements</v>
          </cell>
        </row>
        <row r="91">
          <cell r="A91" t="str">
            <v>200T10</v>
          </cell>
          <cell r="B91" t="str">
            <v>acier T10</v>
          </cell>
          <cell r="C91" t="str">
            <v>219,1 / 6,3</v>
          </cell>
          <cell r="D91" t="str">
            <v>DN200 - 8"</v>
          </cell>
          <cell r="E91">
            <v>207.3</v>
          </cell>
          <cell r="F91" t="str">
            <v>5,9</v>
          </cell>
          <cell r="G91">
            <v>219.1</v>
          </cell>
          <cell r="H91">
            <v>4.4999999999999998E-2</v>
          </cell>
          <cell r="K91" t="str">
            <v xml:space="preserve">   brusques de sections, entrée et sortie</v>
          </cell>
        </row>
        <row r="92">
          <cell r="A92" t="str">
            <v>225T10</v>
          </cell>
          <cell r="B92" t="str">
            <v>acier T10</v>
          </cell>
          <cell r="C92" t="str">
            <v>244.5/6.3</v>
          </cell>
          <cell r="D92">
            <v>9</v>
          </cell>
          <cell r="E92">
            <v>231.9</v>
          </cell>
          <cell r="F92" t="str">
            <v>6,3</v>
          </cell>
          <cell r="G92">
            <v>244.5</v>
          </cell>
          <cell r="H92">
            <v>4.4999999999999998E-2</v>
          </cell>
          <cell r="K92" t="str">
            <v xml:space="preserve">   vanne, tuyauterie de dérivation, piquage</v>
          </cell>
        </row>
        <row r="93">
          <cell r="A93" t="str">
            <v>250T10</v>
          </cell>
          <cell r="B93" t="str">
            <v>acier T10</v>
          </cell>
          <cell r="C93" t="str">
            <v>273 / 6,3</v>
          </cell>
          <cell r="D93" t="str">
            <v>DN250 - 10"</v>
          </cell>
          <cell r="E93">
            <v>260.39999999999998</v>
          </cell>
          <cell r="F93" t="str">
            <v>6,3</v>
          </cell>
          <cell r="G93">
            <v>273</v>
          </cell>
          <cell r="H93">
            <v>4.4999999999999998E-2</v>
          </cell>
          <cell r="K93" t="str">
            <v xml:space="preserve">   du vase d'expansion (8 à 12)</v>
          </cell>
        </row>
        <row r="94">
          <cell r="A94" t="str">
            <v>300T10</v>
          </cell>
          <cell r="B94" t="str">
            <v>acier T10</v>
          </cell>
          <cell r="C94" t="str">
            <v>323,9 / 7,1</v>
          </cell>
          <cell r="D94" t="str">
            <v>DN300 - 12"</v>
          </cell>
          <cell r="E94">
            <v>309.7</v>
          </cell>
          <cell r="F94" t="str">
            <v>7,1</v>
          </cell>
          <cell r="G94">
            <v>323.89999999999998</v>
          </cell>
          <cell r="H94">
            <v>4.4999999999999998E-2</v>
          </cell>
        </row>
        <row r="95">
          <cell r="A95" t="str">
            <v>325T10</v>
          </cell>
          <cell r="B95" t="str">
            <v>acier T10</v>
          </cell>
          <cell r="C95" t="str">
            <v>355.6/8</v>
          </cell>
          <cell r="D95">
            <v>13</v>
          </cell>
          <cell r="E95">
            <v>339.6</v>
          </cell>
          <cell r="F95" t="str">
            <v>8</v>
          </cell>
          <cell r="G95">
            <v>355.6</v>
          </cell>
          <cell r="H95">
            <v>4.4999999999999998E-2</v>
          </cell>
          <cell r="K95" t="str">
            <v>Tronçon entre 2 piquages</v>
          </cell>
        </row>
        <row r="96">
          <cell r="A96" t="str">
            <v>350T10</v>
          </cell>
          <cell r="B96" t="str">
            <v>acier T10</v>
          </cell>
          <cell r="C96" t="str">
            <v>368 / 8</v>
          </cell>
          <cell r="D96" t="str">
            <v>DN350 - 14"</v>
          </cell>
          <cell r="E96">
            <v>352</v>
          </cell>
          <cell r="F96" t="str">
            <v>8</v>
          </cell>
          <cell r="G96">
            <v>368</v>
          </cell>
          <cell r="H96">
            <v>4.4999999999999998E-2</v>
          </cell>
          <cell r="K96" t="str">
            <v>- sans variation de section</v>
          </cell>
          <cell r="M96">
            <v>1.5</v>
          </cell>
        </row>
        <row r="97">
          <cell r="A97" t="str">
            <v>375T10</v>
          </cell>
          <cell r="B97" t="str">
            <v>acier T10</v>
          </cell>
          <cell r="C97" t="str">
            <v>388.8/8.8</v>
          </cell>
          <cell r="D97">
            <v>15</v>
          </cell>
          <cell r="E97">
            <v>388.8</v>
          </cell>
          <cell r="F97" t="str">
            <v>8,8</v>
          </cell>
          <cell r="G97">
            <v>406.4</v>
          </cell>
          <cell r="H97">
            <v>4.4999999999999998E-2</v>
          </cell>
        </row>
        <row r="98">
          <cell r="A98" t="str">
            <v>400T10</v>
          </cell>
          <cell r="B98" t="str">
            <v>acier T10</v>
          </cell>
          <cell r="C98" t="str">
            <v>419 / 10</v>
          </cell>
          <cell r="D98" t="str">
            <v>DN400 - 16"</v>
          </cell>
          <cell r="E98">
            <v>399</v>
          </cell>
          <cell r="F98" t="str">
            <v>10</v>
          </cell>
          <cell r="G98">
            <v>419</v>
          </cell>
          <cell r="H98">
            <v>4.4999999999999998E-2</v>
          </cell>
        </row>
        <row r="101">
          <cell r="A101" t="str">
            <v>==============</v>
          </cell>
          <cell r="B101" t="str">
            <v>==============</v>
          </cell>
          <cell r="C101" t="str">
            <v>==============</v>
          </cell>
        </row>
        <row r="102">
          <cell r="A102" t="str">
            <v>Tube acier</v>
          </cell>
          <cell r="B102" t="str">
            <v>ANSI Standard</v>
          </cell>
          <cell r="C102" t="str">
            <v>au USA</v>
          </cell>
        </row>
        <row r="103">
          <cell r="A103" t="str">
            <v>==============</v>
          </cell>
          <cell r="B103" t="str">
            <v>==============</v>
          </cell>
          <cell r="C103" t="str">
            <v>==============</v>
          </cell>
        </row>
        <row r="104">
          <cell r="A104" t="str">
            <v>5S15</v>
          </cell>
          <cell r="B104" t="str">
            <v>acier 5S</v>
          </cell>
          <cell r="C104" t="str">
            <v>1/2"</v>
          </cell>
          <cell r="E104">
            <v>18</v>
          </cell>
          <cell r="F104">
            <v>1.65</v>
          </cell>
          <cell r="G104">
            <v>21.3</v>
          </cell>
          <cell r="H104">
            <v>4.4999999999999998E-2</v>
          </cell>
        </row>
        <row r="105">
          <cell r="A105" t="str">
            <v>5S20</v>
          </cell>
          <cell r="B105" t="str">
            <v>acier 5S</v>
          </cell>
          <cell r="C105" t="str">
            <v>3/4"</v>
          </cell>
          <cell r="E105">
            <v>23.4</v>
          </cell>
          <cell r="F105">
            <v>1.65</v>
          </cell>
          <cell r="G105">
            <v>26.7</v>
          </cell>
          <cell r="H105">
            <v>4.4999999999999998E-2</v>
          </cell>
        </row>
        <row r="106">
          <cell r="A106" t="str">
            <v>5S25</v>
          </cell>
          <cell r="B106" t="str">
            <v>acier 5S</v>
          </cell>
          <cell r="C106" t="str">
            <v>1"</v>
          </cell>
          <cell r="E106">
            <v>30.1</v>
          </cell>
          <cell r="F106">
            <v>1.65</v>
          </cell>
          <cell r="G106">
            <v>33.4</v>
          </cell>
          <cell r="H106">
            <v>4.4999999999999998E-2</v>
          </cell>
        </row>
        <row r="107">
          <cell r="A107" t="str">
            <v>5S32</v>
          </cell>
          <cell r="B107" t="str">
            <v>acier 5S</v>
          </cell>
          <cell r="C107" t="str">
            <v>1-1/4"</v>
          </cell>
          <cell r="E107">
            <v>38.9</v>
          </cell>
          <cell r="F107">
            <v>1.65</v>
          </cell>
          <cell r="G107">
            <v>42.2</v>
          </cell>
          <cell r="H107">
            <v>4.4999999999999998E-2</v>
          </cell>
        </row>
        <row r="108">
          <cell r="A108" t="str">
            <v>5S40</v>
          </cell>
          <cell r="B108" t="str">
            <v>acier 5S</v>
          </cell>
          <cell r="C108" t="str">
            <v>1-1/2"</v>
          </cell>
          <cell r="E108">
            <v>45</v>
          </cell>
          <cell r="F108">
            <v>1.65</v>
          </cell>
          <cell r="G108">
            <v>48.3</v>
          </cell>
          <cell r="H108">
            <v>4.4999999999999998E-2</v>
          </cell>
        </row>
        <row r="109">
          <cell r="A109" t="str">
            <v>5S50</v>
          </cell>
          <cell r="B109" t="str">
            <v>acier 5S</v>
          </cell>
          <cell r="C109" t="str">
            <v>2"</v>
          </cell>
          <cell r="E109">
            <v>57</v>
          </cell>
          <cell r="F109">
            <v>1.65</v>
          </cell>
          <cell r="G109">
            <v>60.3</v>
          </cell>
          <cell r="H109">
            <v>4.4999999999999998E-2</v>
          </cell>
        </row>
        <row r="110">
          <cell r="A110" t="str">
            <v>5S65</v>
          </cell>
          <cell r="B110" t="str">
            <v>acier 5S</v>
          </cell>
          <cell r="C110" t="str">
            <v>2-1/2"</v>
          </cell>
          <cell r="E110">
            <v>68.78</v>
          </cell>
          <cell r="F110">
            <v>2.11</v>
          </cell>
          <cell r="G110">
            <v>73</v>
          </cell>
          <cell r="H110">
            <v>4.4999999999999998E-2</v>
          </cell>
        </row>
        <row r="111">
          <cell r="A111" t="str">
            <v>5S80</v>
          </cell>
          <cell r="B111" t="str">
            <v>acier 5S</v>
          </cell>
          <cell r="C111" t="str">
            <v>3"</v>
          </cell>
          <cell r="E111">
            <v>84.68</v>
          </cell>
          <cell r="F111">
            <v>2.11</v>
          </cell>
          <cell r="G111">
            <v>88.9</v>
          </cell>
          <cell r="H111">
            <v>4.4999999999999998E-2</v>
          </cell>
        </row>
        <row r="112">
          <cell r="A112" t="str">
            <v>5S90</v>
          </cell>
          <cell r="B112" t="str">
            <v>acier 5S</v>
          </cell>
          <cell r="C112" t="str">
            <v>31/2"</v>
          </cell>
          <cell r="E112">
            <v>97.38</v>
          </cell>
          <cell r="F112">
            <v>2.11</v>
          </cell>
          <cell r="G112">
            <v>101.6</v>
          </cell>
          <cell r="H112">
            <v>4.4999999999999998E-2</v>
          </cell>
        </row>
        <row r="113">
          <cell r="A113" t="str">
            <v>5S100</v>
          </cell>
          <cell r="B113" t="str">
            <v>acier 5S</v>
          </cell>
          <cell r="C113" t="str">
            <v>4"</v>
          </cell>
          <cell r="E113">
            <v>110.08</v>
          </cell>
          <cell r="F113">
            <v>2.11</v>
          </cell>
          <cell r="G113">
            <v>114.3</v>
          </cell>
          <cell r="H113">
            <v>4.4999999999999998E-2</v>
          </cell>
        </row>
        <row r="114">
          <cell r="A114" t="str">
            <v>5S125</v>
          </cell>
          <cell r="B114" t="str">
            <v>acier 5S</v>
          </cell>
          <cell r="C114" t="str">
            <v>5"</v>
          </cell>
          <cell r="E114">
            <v>135.76</v>
          </cell>
          <cell r="F114">
            <v>2.77</v>
          </cell>
          <cell r="G114">
            <v>141.30000000000001</v>
          </cell>
          <cell r="H114">
            <v>4.4999999999999998E-2</v>
          </cell>
        </row>
        <row r="115">
          <cell r="A115" t="str">
            <v>5S150</v>
          </cell>
          <cell r="B115" t="str">
            <v>acier 5S</v>
          </cell>
          <cell r="C115" t="str">
            <v>6"</v>
          </cell>
          <cell r="E115">
            <v>162.76</v>
          </cell>
          <cell r="F115">
            <v>2.77</v>
          </cell>
          <cell r="G115">
            <v>168.3</v>
          </cell>
          <cell r="H115">
            <v>4.4999999999999998E-2</v>
          </cell>
        </row>
        <row r="116">
          <cell r="A116" t="str">
            <v>5S200</v>
          </cell>
          <cell r="B116" t="str">
            <v>acier 5S</v>
          </cell>
          <cell r="C116" t="str">
            <v>8"</v>
          </cell>
          <cell r="E116">
            <v>213.56</v>
          </cell>
          <cell r="F116">
            <v>2.77</v>
          </cell>
          <cell r="G116">
            <v>219.1</v>
          </cell>
          <cell r="H116">
            <v>4.4999999999999998E-2</v>
          </cell>
        </row>
        <row r="117">
          <cell r="A117" t="str">
            <v>5S250</v>
          </cell>
          <cell r="B117" t="str">
            <v>acier 5S</v>
          </cell>
          <cell r="C117" t="str">
            <v>10"</v>
          </cell>
          <cell r="E117">
            <v>266.3</v>
          </cell>
          <cell r="F117">
            <v>3.4</v>
          </cell>
          <cell r="G117">
            <v>273.10000000000002</v>
          </cell>
          <cell r="H117">
            <v>4.4999999999999998E-2</v>
          </cell>
        </row>
        <row r="118">
          <cell r="A118" t="str">
            <v>5S300</v>
          </cell>
          <cell r="B118" t="str">
            <v>acier 5S</v>
          </cell>
          <cell r="C118" t="str">
            <v>12"</v>
          </cell>
          <cell r="E118">
            <v>315.98</v>
          </cell>
          <cell r="F118">
            <v>3.96</v>
          </cell>
          <cell r="G118">
            <v>323.89999999999998</v>
          </cell>
          <cell r="H118">
            <v>4.4999999999999998E-2</v>
          </cell>
        </row>
        <row r="119">
          <cell r="A119" t="str">
            <v>5S350</v>
          </cell>
          <cell r="B119" t="str">
            <v>acier 5S</v>
          </cell>
          <cell r="C119" t="str">
            <v>14"</v>
          </cell>
          <cell r="E119">
            <v>347.68</v>
          </cell>
          <cell r="F119">
            <v>3.96</v>
          </cell>
          <cell r="G119">
            <v>355.6</v>
          </cell>
          <cell r="H119">
            <v>4.4999999999999998E-2</v>
          </cell>
        </row>
        <row r="120">
          <cell r="A120" t="str">
            <v>5S400</v>
          </cell>
          <cell r="B120" t="str">
            <v>acier 5S</v>
          </cell>
          <cell r="C120" t="str">
            <v>16"</v>
          </cell>
          <cell r="E120">
            <v>398.02</v>
          </cell>
          <cell r="F120">
            <v>4.1900000000000004</v>
          </cell>
          <cell r="G120">
            <v>406.4</v>
          </cell>
          <cell r="H120">
            <v>4.4999999999999998E-2</v>
          </cell>
        </row>
        <row r="121">
          <cell r="A121" t="str">
            <v>5S450</v>
          </cell>
          <cell r="B121" t="str">
            <v>acier 5S</v>
          </cell>
          <cell r="C121" t="str">
            <v>18"</v>
          </cell>
          <cell r="E121">
            <v>448.62</v>
          </cell>
          <cell r="F121">
            <v>4.1900000000000004</v>
          </cell>
          <cell r="G121">
            <v>457</v>
          </cell>
          <cell r="H121">
            <v>4.4999999999999998E-2</v>
          </cell>
        </row>
        <row r="122">
          <cell r="A122" t="str">
            <v>5S500</v>
          </cell>
          <cell r="B122" t="str">
            <v>acier 5S</v>
          </cell>
          <cell r="C122" t="str">
            <v>20"</v>
          </cell>
          <cell r="E122">
            <v>498.44</v>
          </cell>
          <cell r="F122">
            <v>4.78</v>
          </cell>
          <cell r="G122">
            <v>508</v>
          </cell>
          <cell r="H122">
            <v>4.4999999999999998E-2</v>
          </cell>
        </row>
        <row r="123">
          <cell r="A123" t="str">
            <v>5S550</v>
          </cell>
          <cell r="B123" t="str">
            <v>acier 5S</v>
          </cell>
          <cell r="C123" t="str">
            <v>22"</v>
          </cell>
          <cell r="E123">
            <v>549.44000000000005</v>
          </cell>
          <cell r="F123">
            <v>4.78</v>
          </cell>
          <cell r="G123">
            <v>559</v>
          </cell>
          <cell r="H123">
            <v>4.4999999999999998E-2</v>
          </cell>
        </row>
        <row r="124">
          <cell r="A124" t="str">
            <v>5S600</v>
          </cell>
          <cell r="B124" t="str">
            <v>acier 5S</v>
          </cell>
          <cell r="C124" t="str">
            <v>24"</v>
          </cell>
          <cell r="E124">
            <v>598.91999999999996</v>
          </cell>
          <cell r="F124">
            <v>5.54</v>
          </cell>
          <cell r="G124">
            <v>610</v>
          </cell>
          <cell r="H124">
            <v>4.4999999999999998E-2</v>
          </cell>
        </row>
        <row r="125">
          <cell r="A125" t="str">
            <v>5S750</v>
          </cell>
          <cell r="B125" t="str">
            <v>acier 5S</v>
          </cell>
          <cell r="C125" t="str">
            <v>30"</v>
          </cell>
          <cell r="E125">
            <v>749.3</v>
          </cell>
          <cell r="F125">
            <v>6.35</v>
          </cell>
          <cell r="G125">
            <v>762</v>
          </cell>
          <cell r="H125">
            <v>4.4999999999999998E-2</v>
          </cell>
        </row>
        <row r="127">
          <cell r="A127" t="str">
            <v>10S8</v>
          </cell>
          <cell r="B127" t="str">
            <v>acier 10S</v>
          </cell>
          <cell r="C127" t="str">
            <v>1/8"</v>
          </cell>
          <cell r="E127">
            <v>7.82</v>
          </cell>
          <cell r="F127">
            <v>1.24</v>
          </cell>
          <cell r="G127">
            <v>10.3</v>
          </cell>
          <cell r="H127">
            <v>4.4999999999999998E-2</v>
          </cell>
        </row>
        <row r="128">
          <cell r="A128" t="str">
            <v>10S10</v>
          </cell>
          <cell r="B128" t="str">
            <v>acier 10S</v>
          </cell>
          <cell r="C128" t="str">
            <v>1/4"</v>
          </cell>
          <cell r="E128">
            <v>10.4</v>
          </cell>
          <cell r="F128">
            <v>1.65</v>
          </cell>
          <cell r="G128">
            <v>13.7</v>
          </cell>
          <cell r="H128">
            <v>4.4999999999999998E-2</v>
          </cell>
        </row>
        <row r="129">
          <cell r="A129" t="str">
            <v>10S12</v>
          </cell>
          <cell r="B129" t="str">
            <v>acier 10S</v>
          </cell>
          <cell r="C129" t="str">
            <v>3/8"</v>
          </cell>
          <cell r="E129">
            <v>13.8</v>
          </cell>
          <cell r="F129">
            <v>1.65</v>
          </cell>
          <cell r="G129">
            <v>17.100000000000001</v>
          </cell>
          <cell r="H129">
            <v>4.4999999999999998E-2</v>
          </cell>
        </row>
        <row r="130">
          <cell r="A130" t="str">
            <v>10S15</v>
          </cell>
          <cell r="B130" t="str">
            <v>acier 10S</v>
          </cell>
          <cell r="C130" t="str">
            <v>1/2"</v>
          </cell>
          <cell r="E130">
            <v>17.079999999999998</v>
          </cell>
          <cell r="F130">
            <v>2.11</v>
          </cell>
          <cell r="G130">
            <v>21.3</v>
          </cell>
          <cell r="H130">
            <v>4.4999999999999998E-2</v>
          </cell>
        </row>
        <row r="131">
          <cell r="A131" t="str">
            <v>10S20</v>
          </cell>
          <cell r="B131" t="str">
            <v>acier 10S</v>
          </cell>
          <cell r="C131" t="str">
            <v>3/4"</v>
          </cell>
          <cell r="E131">
            <v>22.48</v>
          </cell>
          <cell r="F131">
            <v>2.11</v>
          </cell>
          <cell r="G131">
            <v>26.7</v>
          </cell>
          <cell r="H131">
            <v>4.4999999999999998E-2</v>
          </cell>
        </row>
        <row r="132">
          <cell r="A132" t="str">
            <v>10S25</v>
          </cell>
          <cell r="B132" t="str">
            <v>acier 10S</v>
          </cell>
          <cell r="C132" t="str">
            <v>1"</v>
          </cell>
          <cell r="E132">
            <v>27.86</v>
          </cell>
          <cell r="F132">
            <v>2.77</v>
          </cell>
          <cell r="G132">
            <v>33.4</v>
          </cell>
          <cell r="H132">
            <v>4.4999999999999998E-2</v>
          </cell>
        </row>
        <row r="133">
          <cell r="A133" t="str">
            <v>10S32</v>
          </cell>
          <cell r="B133" t="str">
            <v>acier 10S</v>
          </cell>
          <cell r="C133" t="str">
            <v>1-1/4"</v>
          </cell>
          <cell r="E133">
            <v>36.659999999999997</v>
          </cell>
          <cell r="F133">
            <v>2.77</v>
          </cell>
          <cell r="G133">
            <v>42.2</v>
          </cell>
          <cell r="H133">
            <v>4.4999999999999998E-2</v>
          </cell>
        </row>
        <row r="134">
          <cell r="A134" t="str">
            <v>10S40</v>
          </cell>
          <cell r="B134" t="str">
            <v>acier 10S</v>
          </cell>
          <cell r="C134" t="str">
            <v>1-1/2"</v>
          </cell>
          <cell r="E134">
            <v>42.76</v>
          </cell>
          <cell r="F134">
            <v>2.77</v>
          </cell>
          <cell r="G134">
            <v>48.3</v>
          </cell>
          <cell r="H134">
            <v>4.4999999999999998E-2</v>
          </cell>
        </row>
        <row r="135">
          <cell r="A135" t="str">
            <v>10S50</v>
          </cell>
          <cell r="B135" t="str">
            <v>acier 10S</v>
          </cell>
          <cell r="C135" t="str">
            <v>2"</v>
          </cell>
          <cell r="E135">
            <v>54.76</v>
          </cell>
          <cell r="F135">
            <v>2.77</v>
          </cell>
          <cell r="G135">
            <v>60.3</v>
          </cell>
          <cell r="H135">
            <v>4.4999999999999998E-2</v>
          </cell>
        </row>
        <row r="136">
          <cell r="A136" t="str">
            <v>10S65</v>
          </cell>
          <cell r="B136" t="str">
            <v>acier 10S</v>
          </cell>
          <cell r="C136" t="str">
            <v>2-1/2"</v>
          </cell>
          <cell r="E136">
            <v>66.900000000000006</v>
          </cell>
          <cell r="F136">
            <v>3.05</v>
          </cell>
          <cell r="G136">
            <v>73</v>
          </cell>
          <cell r="H136">
            <v>4.4999999999999998E-2</v>
          </cell>
        </row>
        <row r="137">
          <cell r="A137" t="str">
            <v>10S80</v>
          </cell>
          <cell r="B137" t="str">
            <v>acier 10S</v>
          </cell>
          <cell r="C137" t="str">
            <v>3"</v>
          </cell>
          <cell r="E137">
            <v>82.8</v>
          </cell>
          <cell r="F137">
            <v>3.05</v>
          </cell>
          <cell r="G137">
            <v>88.9</v>
          </cell>
          <cell r="H137">
            <v>4.4999999999999998E-2</v>
          </cell>
        </row>
        <row r="138">
          <cell r="A138" t="str">
            <v>10S90</v>
          </cell>
          <cell r="B138" t="str">
            <v>acier 10S</v>
          </cell>
          <cell r="C138" t="str">
            <v>31/2"</v>
          </cell>
          <cell r="E138">
            <v>95.5</v>
          </cell>
          <cell r="F138">
            <v>3.05</v>
          </cell>
          <cell r="G138">
            <v>101.6</v>
          </cell>
          <cell r="H138">
            <v>4.4999999999999998E-2</v>
          </cell>
        </row>
        <row r="139">
          <cell r="A139" t="str">
            <v>10S100</v>
          </cell>
          <cell r="B139" t="str">
            <v>acier 10S</v>
          </cell>
          <cell r="C139" t="str">
            <v>4"</v>
          </cell>
          <cell r="E139">
            <v>108.2</v>
          </cell>
          <cell r="F139">
            <v>3.05</v>
          </cell>
          <cell r="G139">
            <v>114.3</v>
          </cell>
          <cell r="H139">
            <v>4.4999999999999998E-2</v>
          </cell>
        </row>
        <row r="140">
          <cell r="A140" t="str">
            <v>10S125</v>
          </cell>
          <cell r="B140" t="str">
            <v>acier 10S</v>
          </cell>
          <cell r="C140" t="str">
            <v>5"</v>
          </cell>
          <cell r="E140">
            <v>134.5</v>
          </cell>
          <cell r="F140">
            <v>3.4</v>
          </cell>
          <cell r="G140">
            <v>141.30000000000001</v>
          </cell>
          <cell r="H140">
            <v>4.4999999999999998E-2</v>
          </cell>
        </row>
        <row r="141">
          <cell r="A141" t="str">
            <v>10S150</v>
          </cell>
          <cell r="B141" t="str">
            <v>acier 10S</v>
          </cell>
          <cell r="C141" t="str">
            <v>6"</v>
          </cell>
          <cell r="E141">
            <v>161.5</v>
          </cell>
          <cell r="F141">
            <v>3.4</v>
          </cell>
          <cell r="G141">
            <v>168.3</v>
          </cell>
          <cell r="H141">
            <v>4.4999999999999998E-2</v>
          </cell>
        </row>
        <row r="142">
          <cell r="A142" t="str">
            <v>10S200</v>
          </cell>
          <cell r="B142" t="str">
            <v>acier 10S</v>
          </cell>
          <cell r="C142" t="str">
            <v>8"</v>
          </cell>
          <cell r="E142">
            <v>211.58</v>
          </cell>
          <cell r="F142">
            <v>3.76</v>
          </cell>
          <cell r="G142">
            <v>219.1</v>
          </cell>
          <cell r="H142">
            <v>4.4999999999999998E-2</v>
          </cell>
        </row>
        <row r="143">
          <cell r="A143" t="str">
            <v>10S250</v>
          </cell>
          <cell r="B143" t="str">
            <v>acier 10S</v>
          </cell>
          <cell r="C143" t="str">
            <v>10"</v>
          </cell>
          <cell r="E143">
            <v>264.72000000000003</v>
          </cell>
          <cell r="F143">
            <v>4.1900000000000004</v>
          </cell>
          <cell r="G143">
            <v>273.10000000000002</v>
          </cell>
          <cell r="H143">
            <v>4.4999999999999998E-2</v>
          </cell>
        </row>
        <row r="144">
          <cell r="A144" t="str">
            <v>10S300</v>
          </cell>
          <cell r="B144" t="str">
            <v>acier 10S</v>
          </cell>
          <cell r="C144" t="str">
            <v>12"</v>
          </cell>
          <cell r="E144">
            <v>314.76</v>
          </cell>
          <cell r="F144">
            <v>4.57</v>
          </cell>
          <cell r="G144">
            <v>323.89999999999998</v>
          </cell>
          <cell r="H144">
            <v>4.4999999999999998E-2</v>
          </cell>
        </row>
        <row r="145">
          <cell r="A145" t="str">
            <v>10S350</v>
          </cell>
          <cell r="B145" t="str">
            <v>acier 10S</v>
          </cell>
          <cell r="C145" t="str">
            <v>14"</v>
          </cell>
          <cell r="E145">
            <v>346.04</v>
          </cell>
          <cell r="F145">
            <v>4.78</v>
          </cell>
          <cell r="G145">
            <v>355.6</v>
          </cell>
          <cell r="H145">
            <v>4.4999999999999998E-2</v>
          </cell>
        </row>
        <row r="146">
          <cell r="A146" t="str">
            <v>10S400</v>
          </cell>
          <cell r="B146" t="str">
            <v>acier 10S</v>
          </cell>
          <cell r="C146" t="str">
            <v>16"</v>
          </cell>
          <cell r="E146">
            <v>396.84</v>
          </cell>
          <cell r="F146">
            <v>4.78</v>
          </cell>
          <cell r="G146">
            <v>406.4</v>
          </cell>
          <cell r="H146">
            <v>4.4999999999999998E-2</v>
          </cell>
        </row>
        <row r="147">
          <cell r="A147" t="str">
            <v>10S450</v>
          </cell>
          <cell r="B147" t="str">
            <v>acier 10S</v>
          </cell>
          <cell r="C147" t="str">
            <v>18"</v>
          </cell>
          <cell r="E147">
            <v>447.44</v>
          </cell>
          <cell r="F147">
            <v>4.78</v>
          </cell>
          <cell r="G147">
            <v>457</v>
          </cell>
          <cell r="H147">
            <v>4.4999999999999998E-2</v>
          </cell>
        </row>
        <row r="148">
          <cell r="A148" t="str">
            <v>10S500</v>
          </cell>
          <cell r="B148" t="str">
            <v>acier 10S</v>
          </cell>
          <cell r="C148" t="str">
            <v>20"</v>
          </cell>
          <cell r="E148">
            <v>496.92</v>
          </cell>
          <cell r="F148">
            <v>5.54</v>
          </cell>
          <cell r="G148">
            <v>508</v>
          </cell>
          <cell r="H148">
            <v>4.4999999999999998E-2</v>
          </cell>
        </row>
        <row r="149">
          <cell r="A149" t="str">
            <v>10S550</v>
          </cell>
          <cell r="B149" t="str">
            <v>acier 10S</v>
          </cell>
          <cell r="C149" t="str">
            <v>22"</v>
          </cell>
          <cell r="E149">
            <v>547.91999999999996</v>
          </cell>
          <cell r="F149">
            <v>5.54</v>
          </cell>
          <cell r="G149">
            <v>559</v>
          </cell>
          <cell r="H149">
            <v>4.4999999999999998E-2</v>
          </cell>
        </row>
        <row r="150">
          <cell r="A150" t="str">
            <v>10S600</v>
          </cell>
          <cell r="B150" t="str">
            <v>acier 10S</v>
          </cell>
          <cell r="C150" t="str">
            <v>24"</v>
          </cell>
          <cell r="E150">
            <v>597.29999999999995</v>
          </cell>
          <cell r="F150">
            <v>6.35</v>
          </cell>
          <cell r="G150">
            <v>610</v>
          </cell>
          <cell r="H150">
            <v>4.4999999999999998E-2</v>
          </cell>
        </row>
        <row r="151">
          <cell r="A151" t="str">
            <v>10S750</v>
          </cell>
          <cell r="B151" t="str">
            <v>acier 10S</v>
          </cell>
          <cell r="C151" t="str">
            <v>30"</v>
          </cell>
          <cell r="E151">
            <v>746.16</v>
          </cell>
          <cell r="F151">
            <v>7.92</v>
          </cell>
          <cell r="G151">
            <v>762</v>
          </cell>
          <cell r="H151">
            <v>4.4999999999999998E-2</v>
          </cell>
        </row>
        <row r="153">
          <cell r="A153" t="str">
            <v>40S8</v>
          </cell>
          <cell r="B153" t="str">
            <v>acier 40S</v>
          </cell>
          <cell r="C153" t="str">
            <v>1/8"</v>
          </cell>
          <cell r="E153">
            <v>6.84</v>
          </cell>
          <cell r="F153">
            <v>1.73</v>
          </cell>
          <cell r="G153">
            <v>10.3</v>
          </cell>
          <cell r="H153">
            <v>4.4999999999999998E-2</v>
          </cell>
        </row>
        <row r="154">
          <cell r="A154" t="str">
            <v>40S10</v>
          </cell>
          <cell r="B154" t="str">
            <v>acier 40S</v>
          </cell>
          <cell r="C154" t="str">
            <v>1/4"</v>
          </cell>
          <cell r="E154">
            <v>9.2200000000000006</v>
          </cell>
          <cell r="F154">
            <v>2.2400000000000002</v>
          </cell>
          <cell r="G154">
            <v>13.7</v>
          </cell>
          <cell r="H154">
            <v>4.4999999999999998E-2</v>
          </cell>
        </row>
        <row r="155">
          <cell r="A155" t="str">
            <v>40S12</v>
          </cell>
          <cell r="B155" t="str">
            <v>acier 40S</v>
          </cell>
          <cell r="C155" t="str">
            <v>3/8"</v>
          </cell>
          <cell r="E155">
            <v>12.48</v>
          </cell>
          <cell r="F155">
            <v>2.31</v>
          </cell>
          <cell r="G155">
            <v>17.100000000000001</v>
          </cell>
          <cell r="H155">
            <v>4.4999999999999998E-2</v>
          </cell>
        </row>
        <row r="156">
          <cell r="A156" t="str">
            <v>40S15</v>
          </cell>
          <cell r="B156" t="str">
            <v>acier 40S</v>
          </cell>
          <cell r="C156" t="str">
            <v>1/2"</v>
          </cell>
          <cell r="E156">
            <v>15.76</v>
          </cell>
          <cell r="F156">
            <v>2.77</v>
          </cell>
          <cell r="G156">
            <v>21.3</v>
          </cell>
          <cell r="H156">
            <v>4.4999999999999998E-2</v>
          </cell>
        </row>
        <row r="157">
          <cell r="A157" t="str">
            <v>40S20</v>
          </cell>
          <cell r="B157" t="str">
            <v>acier 40S</v>
          </cell>
          <cell r="C157" t="str">
            <v>3/4"</v>
          </cell>
          <cell r="E157">
            <v>20.96</v>
          </cell>
          <cell r="F157">
            <v>2.87</v>
          </cell>
          <cell r="G157">
            <v>26.7</v>
          </cell>
          <cell r="H157">
            <v>4.4999999999999998E-2</v>
          </cell>
        </row>
        <row r="158">
          <cell r="A158" t="str">
            <v>40S25</v>
          </cell>
          <cell r="B158" t="str">
            <v>acier 40S</v>
          </cell>
          <cell r="C158" t="str">
            <v>1"</v>
          </cell>
          <cell r="E158">
            <v>26.64</v>
          </cell>
          <cell r="F158">
            <v>3.38</v>
          </cell>
          <cell r="G158">
            <v>33.4</v>
          </cell>
          <cell r="H158">
            <v>4.4999999999999998E-2</v>
          </cell>
        </row>
        <row r="159">
          <cell r="A159" t="str">
            <v>40S32</v>
          </cell>
          <cell r="B159" t="str">
            <v>acier 40S</v>
          </cell>
          <cell r="C159" t="str">
            <v>1-1/4"</v>
          </cell>
          <cell r="E159">
            <v>35.08</v>
          </cell>
          <cell r="F159">
            <v>3.56</v>
          </cell>
          <cell r="G159">
            <v>42.2</v>
          </cell>
          <cell r="H159">
            <v>4.4999999999999998E-2</v>
          </cell>
        </row>
        <row r="160">
          <cell r="A160" t="str">
            <v>40S40</v>
          </cell>
          <cell r="B160" t="str">
            <v>acier 40S</v>
          </cell>
          <cell r="C160" t="str">
            <v>1-1/2"</v>
          </cell>
          <cell r="E160">
            <v>40.94</v>
          </cell>
          <cell r="F160">
            <v>3.68</v>
          </cell>
          <cell r="G160">
            <v>48.3</v>
          </cell>
          <cell r="H160">
            <v>4.4999999999999998E-2</v>
          </cell>
        </row>
        <row r="161">
          <cell r="A161" t="str">
            <v>40S50</v>
          </cell>
          <cell r="B161" t="str">
            <v>acier 40S</v>
          </cell>
          <cell r="C161" t="str">
            <v>2"</v>
          </cell>
          <cell r="E161">
            <v>52.48</v>
          </cell>
          <cell r="F161">
            <v>3.91</v>
          </cell>
          <cell r="G161">
            <v>60.3</v>
          </cell>
          <cell r="H161">
            <v>4.4999999999999998E-2</v>
          </cell>
        </row>
        <row r="162">
          <cell r="A162" t="str">
            <v>40S65</v>
          </cell>
          <cell r="B162" t="str">
            <v>acier 40S</v>
          </cell>
          <cell r="C162" t="str">
            <v>2-1/2"</v>
          </cell>
          <cell r="E162">
            <v>62.68</v>
          </cell>
          <cell r="F162">
            <v>5.16</v>
          </cell>
          <cell r="G162">
            <v>73</v>
          </cell>
          <cell r="H162">
            <v>4.4999999999999998E-2</v>
          </cell>
        </row>
        <row r="163">
          <cell r="A163" t="str">
            <v>40S80</v>
          </cell>
          <cell r="B163" t="str">
            <v>acier 40S</v>
          </cell>
          <cell r="C163" t="str">
            <v>3"</v>
          </cell>
          <cell r="E163">
            <v>77.92</v>
          </cell>
          <cell r="F163">
            <v>5.49</v>
          </cell>
          <cell r="G163">
            <v>88.9</v>
          </cell>
          <cell r="H163">
            <v>4.4999999999999998E-2</v>
          </cell>
        </row>
        <row r="164">
          <cell r="A164" t="str">
            <v>40S90</v>
          </cell>
          <cell r="B164" t="str">
            <v>acier 40S</v>
          </cell>
          <cell r="C164" t="str">
            <v>31/2"</v>
          </cell>
          <cell r="E164">
            <v>90.12</v>
          </cell>
          <cell r="F164">
            <v>5.74</v>
          </cell>
          <cell r="G164">
            <v>101.6</v>
          </cell>
          <cell r="H164">
            <v>4.4999999999999998E-2</v>
          </cell>
        </row>
        <row r="165">
          <cell r="A165" t="str">
            <v>40S100</v>
          </cell>
          <cell r="B165" t="str">
            <v>acier 40S</v>
          </cell>
          <cell r="C165" t="str">
            <v>4"</v>
          </cell>
          <cell r="E165">
            <v>102.26</v>
          </cell>
          <cell r="F165">
            <v>6.02</v>
          </cell>
          <cell r="G165">
            <v>114.3</v>
          </cell>
          <cell r="H165">
            <v>4.4999999999999998E-2</v>
          </cell>
        </row>
        <row r="166">
          <cell r="A166" t="str">
            <v>40S125</v>
          </cell>
          <cell r="B166" t="str">
            <v>acier 40S</v>
          </cell>
          <cell r="C166" t="str">
            <v>5"</v>
          </cell>
          <cell r="E166">
            <v>128.19999999999999</v>
          </cell>
          <cell r="F166">
            <v>6.55</v>
          </cell>
          <cell r="G166">
            <v>141.30000000000001</v>
          </cell>
          <cell r="H166">
            <v>4.4999999999999998E-2</v>
          </cell>
        </row>
        <row r="167">
          <cell r="A167" t="str">
            <v>40S150</v>
          </cell>
          <cell r="B167" t="str">
            <v>acier 40S</v>
          </cell>
          <cell r="C167" t="str">
            <v>6"</v>
          </cell>
          <cell r="E167">
            <v>154.08000000000001</v>
          </cell>
          <cell r="F167">
            <v>7.11</v>
          </cell>
          <cell r="G167">
            <v>168.3</v>
          </cell>
          <cell r="H167">
            <v>4.4999999999999998E-2</v>
          </cell>
        </row>
        <row r="168">
          <cell r="A168" t="str">
            <v>40S200</v>
          </cell>
          <cell r="B168" t="str">
            <v>acier 40S</v>
          </cell>
          <cell r="C168" t="str">
            <v>8"</v>
          </cell>
          <cell r="E168">
            <v>202.74</v>
          </cell>
          <cell r="F168">
            <v>8.18</v>
          </cell>
          <cell r="G168">
            <v>219.1</v>
          </cell>
          <cell r="H168">
            <v>4.4999999999999998E-2</v>
          </cell>
        </row>
        <row r="169">
          <cell r="A169" t="str">
            <v>40S250</v>
          </cell>
          <cell r="B169" t="str">
            <v>acier 40S</v>
          </cell>
          <cell r="C169" t="str">
            <v>10"</v>
          </cell>
          <cell r="E169">
            <v>254.56</v>
          </cell>
          <cell r="F169">
            <v>9.27</v>
          </cell>
          <cell r="G169">
            <v>273.10000000000002</v>
          </cell>
          <cell r="H169">
            <v>4.4999999999999998E-2</v>
          </cell>
        </row>
        <row r="170">
          <cell r="A170" t="str">
            <v>40S300</v>
          </cell>
          <cell r="B170" t="str">
            <v>acier 40S</v>
          </cell>
          <cell r="C170" t="str">
            <v>12"</v>
          </cell>
          <cell r="E170">
            <v>303.072</v>
          </cell>
          <cell r="F170">
            <v>10.413999999999998</v>
          </cell>
          <cell r="G170">
            <v>323.89999999999998</v>
          </cell>
          <cell r="H170">
            <v>4.4999999999999998E-2</v>
          </cell>
        </row>
        <row r="171">
          <cell r="A171" t="str">
            <v>40S350</v>
          </cell>
          <cell r="B171" t="str">
            <v>acier 40S</v>
          </cell>
          <cell r="C171" t="str">
            <v>14"</v>
          </cell>
          <cell r="E171">
            <v>333.24800000000005</v>
          </cell>
          <cell r="F171">
            <v>11.176</v>
          </cell>
          <cell r="G171">
            <v>355.6</v>
          </cell>
          <cell r="H171">
            <v>4.4999999999999998E-2</v>
          </cell>
        </row>
        <row r="172">
          <cell r="A172" t="str">
            <v>40S400</v>
          </cell>
          <cell r="B172" t="str">
            <v>acier 40S</v>
          </cell>
          <cell r="C172" t="str">
            <v>16"</v>
          </cell>
          <cell r="E172">
            <v>381</v>
          </cell>
          <cell r="F172">
            <v>12.7</v>
          </cell>
          <cell r="G172">
            <v>406.4</v>
          </cell>
          <cell r="H172">
            <v>4.4999999999999998E-2</v>
          </cell>
        </row>
        <row r="173">
          <cell r="A173" t="str">
            <v>40S450</v>
          </cell>
          <cell r="B173" t="str">
            <v>acier 40S</v>
          </cell>
          <cell r="C173" t="str">
            <v>18"</v>
          </cell>
          <cell r="E173">
            <v>428.55200000000002</v>
          </cell>
          <cell r="F173">
            <v>14.224</v>
          </cell>
          <cell r="G173">
            <v>457</v>
          </cell>
          <cell r="H173">
            <v>4.4999999999999998E-2</v>
          </cell>
        </row>
        <row r="174">
          <cell r="A174" t="str">
            <v>40S500</v>
          </cell>
          <cell r="B174" t="str">
            <v>acier 40S</v>
          </cell>
          <cell r="C174" t="str">
            <v>20"</v>
          </cell>
          <cell r="E174">
            <v>478.02800000000002</v>
          </cell>
          <cell r="F174">
            <v>14.985999999999999</v>
          </cell>
          <cell r="G174">
            <v>508</v>
          </cell>
          <cell r="H174">
            <v>4.4999999999999998E-2</v>
          </cell>
        </row>
        <row r="175">
          <cell r="A175" t="str">
            <v>40S600</v>
          </cell>
          <cell r="B175" t="str">
            <v>acier 40S</v>
          </cell>
          <cell r="C175" t="str">
            <v>24"</v>
          </cell>
          <cell r="E175">
            <v>574.94799999999998</v>
          </cell>
          <cell r="F175">
            <v>17.525999999999996</v>
          </cell>
          <cell r="G175">
            <v>610</v>
          </cell>
          <cell r="H175">
            <v>4.4999999999999998E-2</v>
          </cell>
        </row>
        <row r="177">
          <cell r="A177" t="str">
            <v>80S8</v>
          </cell>
          <cell r="B177" t="str">
            <v>acier 80S</v>
          </cell>
          <cell r="C177" t="str">
            <v>1/8"</v>
          </cell>
          <cell r="E177">
            <v>5.48</v>
          </cell>
          <cell r="F177">
            <v>2.41</v>
          </cell>
          <cell r="G177">
            <v>10.3</v>
          </cell>
          <cell r="H177">
            <v>4.4999999999999998E-2</v>
          </cell>
        </row>
        <row r="178">
          <cell r="A178" t="str">
            <v>80S10</v>
          </cell>
          <cell r="B178" t="str">
            <v>acier 80S</v>
          </cell>
          <cell r="C178" t="str">
            <v>1/4"</v>
          </cell>
          <cell r="E178">
            <v>7.66</v>
          </cell>
          <cell r="F178">
            <v>3.02</v>
          </cell>
          <cell r="G178">
            <v>13.7</v>
          </cell>
          <cell r="H178">
            <v>4.4999999999999998E-2</v>
          </cell>
        </row>
        <row r="179">
          <cell r="A179" t="str">
            <v>80S12</v>
          </cell>
          <cell r="B179" t="str">
            <v>acier 80S</v>
          </cell>
          <cell r="C179" t="str">
            <v>3/8"</v>
          </cell>
          <cell r="E179">
            <v>10.7</v>
          </cell>
          <cell r="F179">
            <v>3.2</v>
          </cell>
          <cell r="G179">
            <v>17.100000000000001</v>
          </cell>
          <cell r="H179">
            <v>4.4999999999999998E-2</v>
          </cell>
        </row>
        <row r="180">
          <cell r="A180" t="str">
            <v>80S15</v>
          </cell>
          <cell r="B180" t="str">
            <v>acier 80S</v>
          </cell>
          <cell r="C180" t="str">
            <v>1/2"</v>
          </cell>
          <cell r="E180">
            <v>13.84</v>
          </cell>
          <cell r="F180">
            <v>3.73</v>
          </cell>
          <cell r="G180">
            <v>21.3</v>
          </cell>
          <cell r="H180">
            <v>4.4999999999999998E-2</v>
          </cell>
        </row>
        <row r="181">
          <cell r="A181" t="str">
            <v>80S20</v>
          </cell>
          <cell r="B181" t="str">
            <v>acier 80S</v>
          </cell>
          <cell r="C181" t="str">
            <v>3/4"</v>
          </cell>
          <cell r="E181">
            <v>18.88</v>
          </cell>
          <cell r="F181">
            <v>3.91</v>
          </cell>
          <cell r="G181">
            <v>26.7</v>
          </cell>
          <cell r="H181">
            <v>4.4999999999999998E-2</v>
          </cell>
        </row>
        <row r="182">
          <cell r="A182" t="str">
            <v>80S25</v>
          </cell>
          <cell r="B182" t="str">
            <v>acier 80S</v>
          </cell>
          <cell r="C182" t="str">
            <v>1"</v>
          </cell>
          <cell r="E182">
            <v>24.3</v>
          </cell>
          <cell r="F182">
            <v>4.55</v>
          </cell>
          <cell r="G182">
            <v>33.4</v>
          </cell>
          <cell r="H182">
            <v>4.4999999999999998E-2</v>
          </cell>
        </row>
        <row r="183">
          <cell r="A183" t="str">
            <v>80S32</v>
          </cell>
          <cell r="B183" t="str">
            <v>acier 80S</v>
          </cell>
          <cell r="C183" t="str">
            <v>1-1/4"</v>
          </cell>
          <cell r="E183">
            <v>32.5</v>
          </cell>
          <cell r="F183">
            <v>4.8499999999999996</v>
          </cell>
          <cell r="G183">
            <v>42.2</v>
          </cell>
          <cell r="H183">
            <v>4.4999999999999998E-2</v>
          </cell>
        </row>
        <row r="184">
          <cell r="A184" t="str">
            <v>80S40</v>
          </cell>
          <cell r="B184" t="str">
            <v>acier 80S</v>
          </cell>
          <cell r="C184" t="str">
            <v>1-1/2"</v>
          </cell>
          <cell r="E184">
            <v>38.14</v>
          </cell>
          <cell r="F184">
            <v>5.08</v>
          </cell>
          <cell r="G184">
            <v>48.3</v>
          </cell>
          <cell r="H184">
            <v>4.4999999999999998E-2</v>
          </cell>
        </row>
        <row r="185">
          <cell r="A185" t="str">
            <v>80S50</v>
          </cell>
          <cell r="B185" t="str">
            <v>acier 80S</v>
          </cell>
          <cell r="C185" t="str">
            <v>2"</v>
          </cell>
          <cell r="E185">
            <v>49.22</v>
          </cell>
          <cell r="F185">
            <v>5.54</v>
          </cell>
          <cell r="G185">
            <v>60.3</v>
          </cell>
          <cell r="H185">
            <v>4.4999999999999998E-2</v>
          </cell>
        </row>
        <row r="186">
          <cell r="A186" t="str">
            <v>80S65</v>
          </cell>
          <cell r="B186" t="str">
            <v>acier 80S</v>
          </cell>
          <cell r="C186" t="str">
            <v>2-1/2"</v>
          </cell>
          <cell r="E186">
            <v>58.98</v>
          </cell>
          <cell r="F186">
            <v>7.01</v>
          </cell>
          <cell r="G186">
            <v>73</v>
          </cell>
          <cell r="H186">
            <v>4.4999999999999998E-2</v>
          </cell>
        </row>
        <row r="187">
          <cell r="A187" t="str">
            <v>80S80</v>
          </cell>
          <cell r="B187" t="str">
            <v>acier 80S</v>
          </cell>
          <cell r="C187" t="str">
            <v>3"</v>
          </cell>
          <cell r="E187">
            <v>73.66</v>
          </cell>
          <cell r="F187">
            <v>7.62</v>
          </cell>
          <cell r="G187">
            <v>88.9</v>
          </cell>
          <cell r="H187">
            <v>4.4999999999999998E-2</v>
          </cell>
        </row>
        <row r="188">
          <cell r="A188" t="str">
            <v>80S90</v>
          </cell>
          <cell r="B188" t="str">
            <v>acier 80S</v>
          </cell>
          <cell r="C188" t="str">
            <v>31/2"</v>
          </cell>
          <cell r="E188">
            <v>85.44</v>
          </cell>
          <cell r="F188">
            <v>8.08</v>
          </cell>
          <cell r="G188">
            <v>101.6</v>
          </cell>
          <cell r="H188">
            <v>4.4999999999999998E-2</v>
          </cell>
        </row>
        <row r="189">
          <cell r="A189" t="str">
            <v>80S100</v>
          </cell>
          <cell r="B189" t="str">
            <v>acier 80S</v>
          </cell>
          <cell r="C189" t="str">
            <v>4"</v>
          </cell>
          <cell r="E189">
            <v>97.18</v>
          </cell>
          <cell r="F189">
            <v>8.56</v>
          </cell>
          <cell r="G189">
            <v>114.3</v>
          </cell>
          <cell r="H189">
            <v>4.4999999999999998E-2</v>
          </cell>
        </row>
        <row r="190">
          <cell r="A190" t="str">
            <v>80S125</v>
          </cell>
          <cell r="B190" t="str">
            <v>acier 80S</v>
          </cell>
          <cell r="C190" t="str">
            <v>5"</v>
          </cell>
          <cell r="E190">
            <v>122.24</v>
          </cell>
          <cell r="F190">
            <v>9.5299999999999994</v>
          </cell>
          <cell r="G190">
            <v>141.30000000000001</v>
          </cell>
          <cell r="H190">
            <v>4.4999999999999998E-2</v>
          </cell>
        </row>
        <row r="191">
          <cell r="A191" t="str">
            <v>80S150</v>
          </cell>
          <cell r="B191" t="str">
            <v>acier 80S</v>
          </cell>
          <cell r="C191" t="str">
            <v>6"</v>
          </cell>
          <cell r="E191">
            <v>146.36000000000001</v>
          </cell>
          <cell r="F191">
            <v>10.97</v>
          </cell>
          <cell r="G191">
            <v>168.3</v>
          </cell>
          <cell r="H191">
            <v>4.4999999999999998E-2</v>
          </cell>
        </row>
        <row r="192">
          <cell r="A192" t="str">
            <v>80S200</v>
          </cell>
          <cell r="B192" t="str">
            <v>acier 80S</v>
          </cell>
          <cell r="C192" t="str">
            <v>8"</v>
          </cell>
          <cell r="E192">
            <v>193.7</v>
          </cell>
          <cell r="F192">
            <v>12.7</v>
          </cell>
          <cell r="G192">
            <v>219.1</v>
          </cell>
          <cell r="H192">
            <v>4.4999999999999998E-2</v>
          </cell>
        </row>
        <row r="193">
          <cell r="A193" t="str">
            <v>80S250</v>
          </cell>
          <cell r="B193" t="str">
            <v>acier 80S</v>
          </cell>
          <cell r="C193" t="str">
            <v>10"</v>
          </cell>
          <cell r="E193">
            <v>243.12800000000001</v>
          </cell>
          <cell r="F193">
            <v>14.985999999999999</v>
          </cell>
          <cell r="G193">
            <v>273.10000000000002</v>
          </cell>
          <cell r="H193">
            <v>4.4999999999999998E-2</v>
          </cell>
        </row>
        <row r="194">
          <cell r="A194" t="str">
            <v>80S300</v>
          </cell>
          <cell r="B194" t="str">
            <v>acier 80S</v>
          </cell>
          <cell r="C194" t="str">
            <v>12"</v>
          </cell>
          <cell r="E194">
            <v>288.84799999999996</v>
          </cell>
          <cell r="F194">
            <v>17.525999999999996</v>
          </cell>
          <cell r="G194">
            <v>323.89999999999998</v>
          </cell>
          <cell r="H194">
            <v>4.4999999999999998E-2</v>
          </cell>
        </row>
        <row r="195">
          <cell r="A195" t="str">
            <v>80S350</v>
          </cell>
          <cell r="B195" t="str">
            <v>acier 80S</v>
          </cell>
          <cell r="C195" t="str">
            <v>14"</v>
          </cell>
          <cell r="E195">
            <v>317.5</v>
          </cell>
          <cell r="F195">
            <v>19.05</v>
          </cell>
          <cell r="G195">
            <v>355.6</v>
          </cell>
          <cell r="H195">
            <v>4.4999999999999998E-2</v>
          </cell>
        </row>
        <row r="196">
          <cell r="A196" t="str">
            <v>80S400</v>
          </cell>
          <cell r="B196" t="str">
            <v>acier 80S</v>
          </cell>
          <cell r="C196" t="str">
            <v>16"</v>
          </cell>
          <cell r="E196">
            <v>363.72799999999995</v>
          </cell>
          <cell r="F196">
            <v>21.335999999999999</v>
          </cell>
          <cell r="G196">
            <v>406.4</v>
          </cell>
          <cell r="H196">
            <v>4.4999999999999998E-2</v>
          </cell>
        </row>
        <row r="197">
          <cell r="A197" t="str">
            <v>80S450</v>
          </cell>
          <cell r="B197" t="str">
            <v>acier 80S</v>
          </cell>
          <cell r="C197" t="str">
            <v>18"</v>
          </cell>
          <cell r="E197">
            <v>409.24799999999999</v>
          </cell>
          <cell r="F197">
            <v>23.875999999999998</v>
          </cell>
          <cell r="G197">
            <v>457</v>
          </cell>
          <cell r="H197">
            <v>4.4999999999999998E-2</v>
          </cell>
        </row>
        <row r="198">
          <cell r="A198" t="str">
            <v>80S500</v>
          </cell>
          <cell r="B198" t="str">
            <v>acier 80S</v>
          </cell>
          <cell r="C198" t="str">
            <v>20"</v>
          </cell>
          <cell r="E198">
            <v>455.67599999999999</v>
          </cell>
          <cell r="F198">
            <v>26.161999999999999</v>
          </cell>
          <cell r="G198">
            <v>508</v>
          </cell>
          <cell r="H198">
            <v>4.4999999999999998E-2</v>
          </cell>
        </row>
        <row r="199">
          <cell r="A199" t="str">
            <v>80S600</v>
          </cell>
          <cell r="B199" t="str">
            <v>acier 80S</v>
          </cell>
          <cell r="C199" t="str">
            <v>24"</v>
          </cell>
          <cell r="E199">
            <v>548.024</v>
          </cell>
          <cell r="F199">
            <v>30.987999999999996</v>
          </cell>
          <cell r="G199">
            <v>610</v>
          </cell>
          <cell r="H199">
            <v>4.4999999999999998E-2</v>
          </cell>
        </row>
        <row r="202">
          <cell r="A202" t="str">
            <v>==============</v>
          </cell>
          <cell r="B202" t="str">
            <v>==============</v>
          </cell>
          <cell r="C202" t="str">
            <v>==============</v>
          </cell>
        </row>
        <row r="203">
          <cell r="A203" t="str">
            <v>Tube cuivre</v>
          </cell>
          <cell r="B203" t="str">
            <v>en France</v>
          </cell>
          <cell r="C203" t="str">
            <v>Basic</v>
          </cell>
        </row>
        <row r="204">
          <cell r="A204" t="str">
            <v>==============</v>
          </cell>
          <cell r="B204" t="str">
            <v>==============</v>
          </cell>
          <cell r="C204" t="str">
            <v>==============</v>
          </cell>
        </row>
        <row r="205">
          <cell r="A205" t="str">
            <v>CU10</v>
          </cell>
          <cell r="B205" t="str">
            <v>cuivre</v>
          </cell>
          <cell r="C205" t="str">
            <v>10/12</v>
          </cell>
          <cell r="D205" t="str">
            <v>CU12 - 3/8"</v>
          </cell>
          <cell r="E205">
            <v>10</v>
          </cell>
          <cell r="F205" t="str">
            <v>1</v>
          </cell>
          <cell r="G205">
            <v>12</v>
          </cell>
          <cell r="H205">
            <v>1.5E-3</v>
          </cell>
        </row>
        <row r="206">
          <cell r="A206" t="str">
            <v>CU12</v>
          </cell>
          <cell r="B206" t="str">
            <v>cuivre</v>
          </cell>
          <cell r="C206" t="str">
            <v>12/14</v>
          </cell>
          <cell r="D206" t="str">
            <v>DN15 - 1/2"</v>
          </cell>
          <cell r="E206">
            <v>12</v>
          </cell>
          <cell r="F206" t="str">
            <v>1</v>
          </cell>
          <cell r="G206">
            <v>14</v>
          </cell>
          <cell r="H206">
            <v>1.5E-3</v>
          </cell>
        </row>
        <row r="207">
          <cell r="A207" t="str">
            <v>CU14</v>
          </cell>
          <cell r="B207" t="str">
            <v>cuivre</v>
          </cell>
          <cell r="C207" t="str">
            <v>14/16</v>
          </cell>
          <cell r="D207" t="str">
            <v>5/8"</v>
          </cell>
          <cell r="E207">
            <v>14</v>
          </cell>
          <cell r="F207" t="str">
            <v>1</v>
          </cell>
          <cell r="G207">
            <v>16</v>
          </cell>
          <cell r="H207">
            <v>1.5E-3</v>
          </cell>
        </row>
        <row r="208">
          <cell r="A208" t="str">
            <v>CU16</v>
          </cell>
          <cell r="B208" t="str">
            <v>cuivre</v>
          </cell>
          <cell r="C208" t="str">
            <v>16/18</v>
          </cell>
          <cell r="E208">
            <v>16</v>
          </cell>
          <cell r="F208" t="str">
            <v>1</v>
          </cell>
          <cell r="G208">
            <v>18</v>
          </cell>
          <cell r="H208">
            <v>1.5E-3</v>
          </cell>
        </row>
        <row r="209">
          <cell r="A209" t="str">
            <v>CU18</v>
          </cell>
          <cell r="B209" t="str">
            <v>cuivre</v>
          </cell>
          <cell r="C209" t="str">
            <v>18/20</v>
          </cell>
          <cell r="D209" t="str">
            <v>DN20 - 3/4"</v>
          </cell>
          <cell r="E209">
            <v>18</v>
          </cell>
          <cell r="F209" t="str">
            <v>1</v>
          </cell>
          <cell r="G209">
            <v>20</v>
          </cell>
          <cell r="H209">
            <v>1.5E-3</v>
          </cell>
        </row>
        <row r="210">
          <cell r="A210" t="str">
            <v>CU20</v>
          </cell>
          <cell r="B210" t="str">
            <v>cuivre</v>
          </cell>
          <cell r="C210" t="str">
            <v>20/22</v>
          </cell>
          <cell r="D210" t="str">
            <v>DN20 - 3/4"</v>
          </cell>
          <cell r="E210">
            <v>20</v>
          </cell>
          <cell r="F210" t="str">
            <v>1</v>
          </cell>
          <cell r="G210">
            <v>22</v>
          </cell>
          <cell r="H210">
            <v>1.5E-3</v>
          </cell>
        </row>
        <row r="211">
          <cell r="A211" t="str">
            <v>CU26</v>
          </cell>
          <cell r="B211" t="str">
            <v>cuivre</v>
          </cell>
          <cell r="C211" t="str">
            <v>26/28</v>
          </cell>
          <cell r="D211" t="str">
            <v>DN25 - 1"</v>
          </cell>
          <cell r="E211">
            <v>26</v>
          </cell>
          <cell r="F211" t="str">
            <v>1</v>
          </cell>
          <cell r="G211">
            <v>28</v>
          </cell>
          <cell r="H211">
            <v>1.5E-3</v>
          </cell>
        </row>
        <row r="212">
          <cell r="A212" t="str">
            <v>CU30</v>
          </cell>
          <cell r="B212" t="str">
            <v>cuivre</v>
          </cell>
          <cell r="C212" t="str">
            <v>30/32</v>
          </cell>
          <cell r="D212" t="str">
            <v>DN25 - 1"</v>
          </cell>
          <cell r="E212">
            <v>29.6</v>
          </cell>
          <cell r="F212" t="str">
            <v>1,2</v>
          </cell>
          <cell r="G212">
            <v>32</v>
          </cell>
          <cell r="H212">
            <v>1.5E-3</v>
          </cell>
        </row>
        <row r="213">
          <cell r="A213" t="str">
            <v>CU34</v>
          </cell>
          <cell r="B213" t="str">
            <v>cuivre</v>
          </cell>
          <cell r="C213" t="str">
            <v>34/36</v>
          </cell>
          <cell r="D213" t="str">
            <v>1-1/8"</v>
          </cell>
          <cell r="E213">
            <v>33.6</v>
          </cell>
          <cell r="F213" t="str">
            <v>1,2</v>
          </cell>
          <cell r="G213">
            <v>36</v>
          </cell>
          <cell r="H213">
            <v>1.5E-3</v>
          </cell>
        </row>
        <row r="214">
          <cell r="A214" t="str">
            <v>CU40</v>
          </cell>
          <cell r="B214" t="str">
            <v>cuivre</v>
          </cell>
          <cell r="C214" t="str">
            <v>40/42</v>
          </cell>
          <cell r="D214" t="str">
            <v>1-3/8"</v>
          </cell>
          <cell r="E214">
            <v>39.6</v>
          </cell>
          <cell r="F214" t="str">
            <v>1,2</v>
          </cell>
          <cell r="G214">
            <v>42</v>
          </cell>
          <cell r="H214">
            <v>1.5E-3</v>
          </cell>
        </row>
        <row r="215">
          <cell r="A215" t="str">
            <v>CU52</v>
          </cell>
          <cell r="B215" t="str">
            <v>cuivre</v>
          </cell>
          <cell r="C215" t="str">
            <v>52/54</v>
          </cell>
          <cell r="D215" t="str">
            <v>1-5/8"</v>
          </cell>
          <cell r="E215">
            <v>51.6</v>
          </cell>
          <cell r="F215" t="str">
            <v>1,2</v>
          </cell>
          <cell r="G215">
            <v>54</v>
          </cell>
          <cell r="H215">
            <v>1.5E-3</v>
          </cell>
        </row>
        <row r="218">
          <cell r="A218" t="str">
            <v>==============</v>
          </cell>
          <cell r="B218" t="str">
            <v>==============</v>
          </cell>
        </row>
        <row r="219">
          <cell r="A219" t="str">
            <v>Tube cuivre</v>
          </cell>
          <cell r="B219" t="str">
            <v>frigorifique</v>
          </cell>
        </row>
        <row r="220">
          <cell r="A220" t="str">
            <v>==============</v>
          </cell>
          <cell r="B220" t="str">
            <v>==============</v>
          </cell>
        </row>
        <row r="221">
          <cell r="A221" t="str">
            <v>FR6</v>
          </cell>
          <cell r="B221" t="str">
            <v>cuivre-frigo</v>
          </cell>
          <cell r="C221" t="str">
            <v>1/4"</v>
          </cell>
          <cell r="D221" t="str">
            <v>1/4"</v>
          </cell>
          <cell r="E221">
            <v>4.83</v>
          </cell>
          <cell r="F221">
            <v>0.76</v>
          </cell>
          <cell r="G221">
            <v>6.35</v>
          </cell>
          <cell r="H221">
            <v>1.5E-3</v>
          </cell>
        </row>
        <row r="222">
          <cell r="A222" t="str">
            <v>FR6</v>
          </cell>
          <cell r="B222" t="str">
            <v>cuivre-frigo</v>
          </cell>
          <cell r="C222" t="str">
            <v>1/4"</v>
          </cell>
          <cell r="D222" t="str">
            <v>1/4"</v>
          </cell>
          <cell r="E222">
            <v>4.83</v>
          </cell>
          <cell r="F222">
            <v>0.76</v>
          </cell>
          <cell r="G222">
            <v>6.35</v>
          </cell>
          <cell r="H222">
            <v>1.5E-3</v>
          </cell>
        </row>
        <row r="223">
          <cell r="A223" t="str">
            <v>FR10</v>
          </cell>
          <cell r="B223" t="str">
            <v>cuivre-frigo</v>
          </cell>
          <cell r="C223" t="str">
            <v>3/8"</v>
          </cell>
          <cell r="D223" t="str">
            <v>DN12 - 3/8"</v>
          </cell>
          <cell r="E223">
            <v>8</v>
          </cell>
          <cell r="F223">
            <v>0.76</v>
          </cell>
          <cell r="G223">
            <v>9.52</v>
          </cell>
          <cell r="H223">
            <v>1.5E-3</v>
          </cell>
        </row>
        <row r="224">
          <cell r="A224" t="str">
            <v>FR12</v>
          </cell>
          <cell r="B224" t="str">
            <v>cuivre-frigo</v>
          </cell>
          <cell r="C224" t="str">
            <v>1/2"</v>
          </cell>
          <cell r="D224" t="str">
            <v>DN15 - 1/2"</v>
          </cell>
          <cell r="E224">
            <v>10.92</v>
          </cell>
          <cell r="F224">
            <v>0.89</v>
          </cell>
          <cell r="G224">
            <v>12.7</v>
          </cell>
          <cell r="H224">
            <v>1.5E-3</v>
          </cell>
        </row>
        <row r="225">
          <cell r="A225" t="str">
            <v>FR14</v>
          </cell>
          <cell r="B225" t="str">
            <v>cuivre-frigo</v>
          </cell>
          <cell r="C225" t="str">
            <v>5/8"</v>
          </cell>
          <cell r="D225" t="str">
            <v>5/8"</v>
          </cell>
          <cell r="E225">
            <v>13.86</v>
          </cell>
          <cell r="F225">
            <v>1.02</v>
          </cell>
          <cell r="G225">
            <v>15.9</v>
          </cell>
          <cell r="H225">
            <v>1.5E-3</v>
          </cell>
        </row>
        <row r="226">
          <cell r="A226" t="str">
            <v>FR18</v>
          </cell>
          <cell r="B226" t="str">
            <v>cuivre-frigo</v>
          </cell>
          <cell r="C226" t="str">
            <v>3/4"</v>
          </cell>
          <cell r="D226" t="str">
            <v>DN20 - 3/4"</v>
          </cell>
          <cell r="E226">
            <v>16.96</v>
          </cell>
          <cell r="F226">
            <v>1.07</v>
          </cell>
          <cell r="G226">
            <v>19.100000000000001</v>
          </cell>
          <cell r="H226">
            <v>1.5E-3</v>
          </cell>
        </row>
        <row r="227">
          <cell r="A227" t="str">
            <v>FR20</v>
          </cell>
          <cell r="B227" t="str">
            <v>cuivre-frigo</v>
          </cell>
          <cell r="C227" t="str">
            <v>7/8"</v>
          </cell>
          <cell r="D227" t="str">
            <v>7/8"</v>
          </cell>
          <cell r="E227">
            <v>19.920000000000002</v>
          </cell>
          <cell r="F227">
            <v>1.1399999999999999</v>
          </cell>
          <cell r="G227">
            <v>22.2</v>
          </cell>
          <cell r="H227">
            <v>1.5E-3</v>
          </cell>
        </row>
        <row r="228">
          <cell r="A228" t="str">
            <v>FR25</v>
          </cell>
          <cell r="B228" t="str">
            <v>cuivre-frigo</v>
          </cell>
          <cell r="C228" t="str">
            <v>1"</v>
          </cell>
          <cell r="D228" t="str">
            <v>DN25 - 1"</v>
          </cell>
          <cell r="E228">
            <v>22.76</v>
          </cell>
          <cell r="F228">
            <v>1.1399999999999999</v>
          </cell>
          <cell r="G228">
            <v>25.04</v>
          </cell>
          <cell r="H228">
            <v>1.5E-3</v>
          </cell>
        </row>
        <row r="229">
          <cell r="A229" t="str">
            <v>FR26</v>
          </cell>
          <cell r="B229" t="str">
            <v>cuivre-frigo</v>
          </cell>
          <cell r="C229" t="str">
            <v>1-1/8"</v>
          </cell>
          <cell r="D229" t="str">
            <v>1-1/8"</v>
          </cell>
          <cell r="E229">
            <v>26.06</v>
          </cell>
          <cell r="F229">
            <v>1.27</v>
          </cell>
          <cell r="G229">
            <v>28.6</v>
          </cell>
          <cell r="H229">
            <v>1.5E-3</v>
          </cell>
        </row>
        <row r="230">
          <cell r="A230" t="str">
            <v>FR32</v>
          </cell>
          <cell r="B230" t="str">
            <v>cuivre-frigo</v>
          </cell>
          <cell r="C230" t="str">
            <v>1-3/8"</v>
          </cell>
          <cell r="D230" t="str">
            <v>1-3/8"</v>
          </cell>
          <cell r="E230">
            <v>32.1</v>
          </cell>
          <cell r="F230">
            <v>1.4</v>
          </cell>
          <cell r="G230">
            <v>34.9</v>
          </cell>
          <cell r="H230">
            <v>1.5E-3</v>
          </cell>
        </row>
        <row r="231">
          <cell r="A231" t="str">
            <v>FR40</v>
          </cell>
          <cell r="B231" t="str">
            <v>cuivre-frigo</v>
          </cell>
          <cell r="C231" t="str">
            <v>1-5/8"</v>
          </cell>
          <cell r="D231" t="str">
            <v>1-5/8"</v>
          </cell>
          <cell r="E231">
            <v>38.26</v>
          </cell>
          <cell r="F231">
            <v>1.52</v>
          </cell>
          <cell r="G231">
            <v>41.3</v>
          </cell>
          <cell r="H231">
            <v>1.5E-3</v>
          </cell>
        </row>
        <row r="232">
          <cell r="A232" t="str">
            <v>FR50</v>
          </cell>
          <cell r="B232" t="str">
            <v>cuivre-frigo</v>
          </cell>
          <cell r="C232" t="str">
            <v>2-1/8"</v>
          </cell>
          <cell r="D232" t="str">
            <v>2-1/8"</v>
          </cell>
          <cell r="E232">
            <v>50.44</v>
          </cell>
          <cell r="F232">
            <v>1.78</v>
          </cell>
          <cell r="G232">
            <v>54</v>
          </cell>
          <cell r="H232">
            <v>1.5E-3</v>
          </cell>
        </row>
        <row r="233">
          <cell r="A233" t="str">
            <v>FR65</v>
          </cell>
          <cell r="B233" t="str">
            <v>cuivre-frigo</v>
          </cell>
          <cell r="C233" t="str">
            <v>2-5/8"</v>
          </cell>
          <cell r="D233" t="str">
            <v>2-5/8"</v>
          </cell>
          <cell r="E233">
            <v>62.61</v>
          </cell>
          <cell r="F233">
            <v>2.0299999999999998</v>
          </cell>
          <cell r="G233">
            <v>66.67</v>
          </cell>
          <cell r="H233">
            <v>1.5E-3</v>
          </cell>
        </row>
        <row r="234">
          <cell r="A234" t="str">
            <v>FR80</v>
          </cell>
          <cell r="B234" t="str">
            <v>cuivre-frigo</v>
          </cell>
          <cell r="C234" t="str">
            <v>3-1/8"</v>
          </cell>
          <cell r="D234" t="str">
            <v>3-1/8"</v>
          </cell>
          <cell r="E234">
            <v>74.790000000000006</v>
          </cell>
          <cell r="F234">
            <v>2.29</v>
          </cell>
          <cell r="G234">
            <v>79.37</v>
          </cell>
          <cell r="H234">
            <v>1.5E-3</v>
          </cell>
        </row>
        <row r="235">
          <cell r="A235" t="str">
            <v>FR90</v>
          </cell>
          <cell r="B235" t="str">
            <v>cuivre-frigo</v>
          </cell>
          <cell r="C235">
            <v>3.625</v>
          </cell>
          <cell r="D235">
            <v>3.625</v>
          </cell>
          <cell r="E235">
            <v>87.02</v>
          </cell>
          <cell r="F235">
            <v>2.54</v>
          </cell>
          <cell r="G235">
            <v>92.1</v>
          </cell>
          <cell r="H235">
            <v>1.5E-3</v>
          </cell>
        </row>
        <row r="236">
          <cell r="A236" t="str">
            <v>FR100</v>
          </cell>
          <cell r="B236" t="str">
            <v>cuivre-frigo</v>
          </cell>
          <cell r="C236">
            <v>4.125</v>
          </cell>
          <cell r="D236">
            <v>4.125</v>
          </cell>
          <cell r="E236">
            <v>99.22</v>
          </cell>
          <cell r="F236">
            <v>2.79</v>
          </cell>
          <cell r="G236">
            <v>104.8</v>
          </cell>
          <cell r="H236">
            <v>1.5E-3</v>
          </cell>
        </row>
        <row r="238">
          <cell r="A238" t="str">
            <v>==============</v>
          </cell>
          <cell r="B238" t="str">
            <v>==============</v>
          </cell>
          <cell r="C238" t="str">
            <v>==============</v>
          </cell>
        </row>
        <row r="239">
          <cell r="A239" t="str">
            <v>Tube cuivre</v>
          </cell>
          <cell r="B239" t="str">
            <v>en Europe</v>
          </cell>
          <cell r="C239" t="str">
            <v>BS EN 1057</v>
          </cell>
        </row>
        <row r="240">
          <cell r="A240" t="str">
            <v>==============</v>
          </cell>
          <cell r="B240" t="str">
            <v>==============</v>
          </cell>
          <cell r="C240" t="str">
            <v>==============</v>
          </cell>
        </row>
        <row r="241">
          <cell r="A241" t="str">
            <v>CUY6</v>
          </cell>
          <cell r="B241" t="str">
            <v>cuivre Y</v>
          </cell>
          <cell r="D241" t="str">
            <v>4/6</v>
          </cell>
          <cell r="E241">
            <v>4.4000000000000004</v>
          </cell>
          <cell r="F241">
            <v>0.8</v>
          </cell>
          <cell r="G241">
            <v>6</v>
          </cell>
          <cell r="H241">
            <v>1.5E-3</v>
          </cell>
        </row>
        <row r="242">
          <cell r="A242" t="str">
            <v>CUY8</v>
          </cell>
          <cell r="B242" t="str">
            <v>cuivre Y</v>
          </cell>
          <cell r="C242" t="str">
            <v>3/8"</v>
          </cell>
          <cell r="D242" t="str">
            <v>6/8</v>
          </cell>
          <cell r="E242">
            <v>6.4</v>
          </cell>
          <cell r="F242">
            <v>0.8</v>
          </cell>
          <cell r="G242">
            <v>8</v>
          </cell>
          <cell r="H242">
            <v>1.5E-3</v>
          </cell>
        </row>
        <row r="243">
          <cell r="A243" t="str">
            <v>CUY10</v>
          </cell>
          <cell r="B243" t="str">
            <v>cuivre Y</v>
          </cell>
          <cell r="C243" t="str">
            <v>3/8"</v>
          </cell>
          <cell r="D243" t="str">
            <v>8/10</v>
          </cell>
          <cell r="E243">
            <v>8.4</v>
          </cell>
          <cell r="F243">
            <v>0.8</v>
          </cell>
          <cell r="G243">
            <v>10</v>
          </cell>
          <cell r="H243">
            <v>1.5E-3</v>
          </cell>
        </row>
        <row r="244">
          <cell r="A244" t="str">
            <v>CUY12</v>
          </cell>
          <cell r="B244" t="str">
            <v>cuivre Y</v>
          </cell>
          <cell r="C244" t="str">
            <v>5/8"</v>
          </cell>
          <cell r="D244" t="str">
            <v>10/12</v>
          </cell>
          <cell r="E244">
            <v>10.4</v>
          </cell>
          <cell r="F244">
            <v>0.8</v>
          </cell>
          <cell r="G244">
            <v>12</v>
          </cell>
          <cell r="H244">
            <v>1.5E-3</v>
          </cell>
        </row>
        <row r="245">
          <cell r="A245" t="str">
            <v>CUY15</v>
          </cell>
          <cell r="B245" t="str">
            <v>cuivre Y</v>
          </cell>
          <cell r="C245" t="str">
            <v>1/2"</v>
          </cell>
          <cell r="D245" t="str">
            <v>14/16</v>
          </cell>
          <cell r="E245">
            <v>13</v>
          </cell>
          <cell r="F245">
            <v>1</v>
          </cell>
          <cell r="G245">
            <v>15</v>
          </cell>
          <cell r="H245">
            <v>1.5E-3</v>
          </cell>
        </row>
        <row r="246">
          <cell r="A246" t="str">
            <v>CUY18</v>
          </cell>
          <cell r="B246" t="str">
            <v>cuivre Y</v>
          </cell>
          <cell r="C246" t="str">
            <v>3/4"</v>
          </cell>
          <cell r="D246" t="str">
            <v>16/18</v>
          </cell>
          <cell r="E246">
            <v>16</v>
          </cell>
          <cell r="F246">
            <v>1</v>
          </cell>
          <cell r="G246">
            <v>18</v>
          </cell>
          <cell r="H246">
            <v>1.5E-3</v>
          </cell>
        </row>
        <row r="247">
          <cell r="A247" t="str">
            <v>CUY22</v>
          </cell>
          <cell r="B247" t="str">
            <v>cuivre Y</v>
          </cell>
          <cell r="C247" t="str">
            <v>3/4"</v>
          </cell>
          <cell r="D247" t="str">
            <v>20/22</v>
          </cell>
          <cell r="E247">
            <v>19.600000000000001</v>
          </cell>
          <cell r="F247">
            <v>1.2</v>
          </cell>
          <cell r="G247">
            <v>22</v>
          </cell>
          <cell r="H247">
            <v>1.5E-3</v>
          </cell>
        </row>
        <row r="248">
          <cell r="A248" t="str">
            <v>CUY28</v>
          </cell>
          <cell r="B248" t="str">
            <v>cuivre Y</v>
          </cell>
          <cell r="C248" t="str">
            <v>1"</v>
          </cell>
          <cell r="D248" t="str">
            <v>26/28</v>
          </cell>
          <cell r="E248">
            <v>25.6</v>
          </cell>
          <cell r="F248">
            <v>1.2</v>
          </cell>
          <cell r="G248">
            <v>28</v>
          </cell>
          <cell r="H248">
            <v>1.5E-3</v>
          </cell>
        </row>
        <row r="249">
          <cell r="A249" t="str">
            <v>CUY35</v>
          </cell>
          <cell r="B249" t="str">
            <v>cuivre Y</v>
          </cell>
          <cell r="C249" t="str">
            <v>1,25"</v>
          </cell>
          <cell r="D249" t="str">
            <v>32/35</v>
          </cell>
          <cell r="E249">
            <v>32</v>
          </cell>
          <cell r="F249">
            <v>1.5</v>
          </cell>
          <cell r="G249">
            <v>35</v>
          </cell>
          <cell r="H249">
            <v>1.5E-3</v>
          </cell>
        </row>
        <row r="250">
          <cell r="A250" t="str">
            <v>CUY42</v>
          </cell>
          <cell r="B250" t="str">
            <v>cuivre Y</v>
          </cell>
          <cell r="C250" t="str">
            <v>1,5"</v>
          </cell>
          <cell r="D250" t="str">
            <v>40/42</v>
          </cell>
          <cell r="E250">
            <v>39</v>
          </cell>
          <cell r="F250">
            <v>1.5</v>
          </cell>
          <cell r="G250">
            <v>42</v>
          </cell>
          <cell r="H250">
            <v>1.5E-3</v>
          </cell>
        </row>
        <row r="251">
          <cell r="A251" t="str">
            <v>CUY54</v>
          </cell>
          <cell r="B251" t="str">
            <v>cuivre Y</v>
          </cell>
          <cell r="C251" t="str">
            <v>2"</v>
          </cell>
          <cell r="D251" t="str">
            <v>52/54</v>
          </cell>
          <cell r="E251">
            <v>50</v>
          </cell>
          <cell r="F251">
            <v>2</v>
          </cell>
          <cell r="G251">
            <v>54</v>
          </cell>
          <cell r="H251">
            <v>1.5E-3</v>
          </cell>
        </row>
        <row r="252">
          <cell r="A252" t="str">
            <v>CUY65</v>
          </cell>
          <cell r="B252" t="str">
            <v>cuivre Y</v>
          </cell>
          <cell r="C252" t="str">
            <v>2,5"</v>
          </cell>
          <cell r="D252" t="str">
            <v>64/2</v>
          </cell>
          <cell r="E252">
            <v>62.7</v>
          </cell>
          <cell r="F252">
            <v>2</v>
          </cell>
          <cell r="G252">
            <v>66.7</v>
          </cell>
          <cell r="H252">
            <v>1.5E-3</v>
          </cell>
        </row>
        <row r="253">
          <cell r="A253" t="str">
            <v>CUY76</v>
          </cell>
          <cell r="B253" t="str">
            <v>cuivre Y</v>
          </cell>
          <cell r="C253" t="str">
            <v>3"</v>
          </cell>
          <cell r="D253" t="str">
            <v>72/2</v>
          </cell>
          <cell r="E253">
            <v>72.099999999999994</v>
          </cell>
          <cell r="F253">
            <v>2</v>
          </cell>
          <cell r="G253">
            <v>76.099999999999994</v>
          </cell>
          <cell r="H253">
            <v>1.5E-3</v>
          </cell>
        </row>
        <row r="254">
          <cell r="A254" t="str">
            <v>CUY100</v>
          </cell>
          <cell r="B254" t="str">
            <v>cuivre Y</v>
          </cell>
          <cell r="C254" t="str">
            <v>4"</v>
          </cell>
          <cell r="D254" t="str">
            <v>103/2,5</v>
          </cell>
          <cell r="E254">
            <v>103</v>
          </cell>
          <cell r="F254">
            <v>2.5</v>
          </cell>
          <cell r="G254">
            <v>108</v>
          </cell>
          <cell r="H254">
            <v>1.5E-3</v>
          </cell>
        </row>
        <row r="256">
          <cell r="A256" t="str">
            <v>CUX6</v>
          </cell>
          <cell r="B256" t="str">
            <v>cuivre X</v>
          </cell>
          <cell r="D256" t="str">
            <v>4/6</v>
          </cell>
          <cell r="E256">
            <v>4.8</v>
          </cell>
          <cell r="F256">
            <v>0.6</v>
          </cell>
          <cell r="G256">
            <v>6</v>
          </cell>
          <cell r="H256">
            <v>1.5E-3</v>
          </cell>
        </row>
        <row r="257">
          <cell r="A257" t="str">
            <v>CUX8</v>
          </cell>
          <cell r="B257" t="str">
            <v>cuivre X</v>
          </cell>
          <cell r="C257" t="str">
            <v>3/8"</v>
          </cell>
          <cell r="D257" t="str">
            <v>6/8</v>
          </cell>
          <cell r="E257">
            <v>6.8</v>
          </cell>
          <cell r="F257">
            <v>0.6</v>
          </cell>
          <cell r="G257">
            <v>8</v>
          </cell>
          <cell r="H257">
            <v>1.5E-3</v>
          </cell>
        </row>
        <row r="258">
          <cell r="A258" t="str">
            <v>CUX10</v>
          </cell>
          <cell r="B258" t="str">
            <v>cuivre X</v>
          </cell>
          <cell r="C258" t="str">
            <v>3/8"</v>
          </cell>
          <cell r="D258" t="str">
            <v>8/10</v>
          </cell>
          <cell r="E258">
            <v>8.8000000000000007</v>
          </cell>
          <cell r="F258">
            <v>0.6</v>
          </cell>
          <cell r="G258">
            <v>10</v>
          </cell>
          <cell r="H258">
            <v>1.5E-3</v>
          </cell>
        </row>
        <row r="259">
          <cell r="A259" t="str">
            <v>CUX12</v>
          </cell>
          <cell r="B259" t="str">
            <v>cuivre X</v>
          </cell>
          <cell r="C259" t="str">
            <v>5/8"</v>
          </cell>
          <cell r="D259" t="str">
            <v>10/12</v>
          </cell>
          <cell r="E259">
            <v>10.8</v>
          </cell>
          <cell r="F259">
            <v>0.6</v>
          </cell>
          <cell r="G259">
            <v>12</v>
          </cell>
          <cell r="H259">
            <v>1.5E-3</v>
          </cell>
        </row>
        <row r="260">
          <cell r="A260" t="str">
            <v>CUX15</v>
          </cell>
          <cell r="B260" t="str">
            <v>cuivre X</v>
          </cell>
          <cell r="C260" t="str">
            <v>1/2"</v>
          </cell>
          <cell r="D260" t="str">
            <v>14/16</v>
          </cell>
          <cell r="E260">
            <v>13.6</v>
          </cell>
          <cell r="F260">
            <v>0.7</v>
          </cell>
          <cell r="G260">
            <v>15</v>
          </cell>
          <cell r="H260">
            <v>1.5E-3</v>
          </cell>
        </row>
        <row r="261">
          <cell r="A261" t="str">
            <v>CUX18</v>
          </cell>
          <cell r="B261" t="str">
            <v>cuivre X</v>
          </cell>
          <cell r="C261" t="str">
            <v>3/4"</v>
          </cell>
          <cell r="D261" t="str">
            <v>16/18</v>
          </cell>
          <cell r="E261">
            <v>16.399999999999999</v>
          </cell>
          <cell r="F261">
            <v>0.8</v>
          </cell>
          <cell r="G261">
            <v>18</v>
          </cell>
          <cell r="H261">
            <v>1.5E-3</v>
          </cell>
        </row>
        <row r="262">
          <cell r="A262" t="str">
            <v>CUX22</v>
          </cell>
          <cell r="B262" t="str">
            <v>cuivre X</v>
          </cell>
          <cell r="C262" t="str">
            <v>3/4"</v>
          </cell>
          <cell r="D262" t="str">
            <v>20/22</v>
          </cell>
          <cell r="E262">
            <v>20.2</v>
          </cell>
          <cell r="F262">
            <v>0.9</v>
          </cell>
          <cell r="G262">
            <v>22</v>
          </cell>
          <cell r="H262">
            <v>1.5E-3</v>
          </cell>
        </row>
        <row r="263">
          <cell r="A263" t="str">
            <v>CUX28</v>
          </cell>
          <cell r="B263" t="str">
            <v>cuivre X</v>
          </cell>
          <cell r="C263" t="str">
            <v>1"</v>
          </cell>
          <cell r="D263" t="str">
            <v>26/28</v>
          </cell>
          <cell r="E263">
            <v>26.2</v>
          </cell>
          <cell r="F263">
            <v>0.9</v>
          </cell>
          <cell r="G263">
            <v>28</v>
          </cell>
          <cell r="H263">
            <v>1.5E-3</v>
          </cell>
        </row>
        <row r="264">
          <cell r="A264" t="str">
            <v>CUX35</v>
          </cell>
          <cell r="B264" t="str">
            <v>cuivre X</v>
          </cell>
          <cell r="C264" t="str">
            <v>1,25"</v>
          </cell>
          <cell r="D264" t="str">
            <v>32/35</v>
          </cell>
          <cell r="E264">
            <v>32.6</v>
          </cell>
          <cell r="F264">
            <v>1.2</v>
          </cell>
          <cell r="G264">
            <v>35</v>
          </cell>
          <cell r="H264">
            <v>1.5E-3</v>
          </cell>
        </row>
        <row r="265">
          <cell r="A265" t="str">
            <v>CUX42</v>
          </cell>
          <cell r="B265" t="str">
            <v>cuivre X</v>
          </cell>
          <cell r="C265" t="str">
            <v>1,5"</v>
          </cell>
          <cell r="D265" t="str">
            <v>40/42</v>
          </cell>
          <cell r="E265">
            <v>39.6</v>
          </cell>
          <cell r="F265">
            <v>1.2</v>
          </cell>
          <cell r="G265">
            <v>42</v>
          </cell>
          <cell r="H265">
            <v>1.5E-3</v>
          </cell>
        </row>
        <row r="266">
          <cell r="A266" t="str">
            <v>CUX54</v>
          </cell>
          <cell r="B266" t="str">
            <v>cuivre X</v>
          </cell>
          <cell r="C266" t="str">
            <v>2"</v>
          </cell>
          <cell r="D266" t="str">
            <v>52/54</v>
          </cell>
          <cell r="E266">
            <v>51.6</v>
          </cell>
          <cell r="F266">
            <v>1.2</v>
          </cell>
          <cell r="G266">
            <v>54</v>
          </cell>
          <cell r="H266">
            <v>1.5E-3</v>
          </cell>
        </row>
        <row r="267">
          <cell r="A267" t="str">
            <v>CUX65</v>
          </cell>
          <cell r="B267" t="str">
            <v>cuivre X</v>
          </cell>
          <cell r="C267" t="str">
            <v>2,5"</v>
          </cell>
          <cell r="D267" t="str">
            <v>64/2</v>
          </cell>
          <cell r="E267">
            <v>64.3</v>
          </cell>
          <cell r="F267">
            <v>1.2</v>
          </cell>
          <cell r="G267">
            <v>66.7</v>
          </cell>
          <cell r="H267">
            <v>1.5E-3</v>
          </cell>
        </row>
        <row r="268">
          <cell r="A268" t="str">
            <v>CUX76</v>
          </cell>
          <cell r="B268" t="str">
            <v>cuivre X</v>
          </cell>
          <cell r="C268" t="str">
            <v>3"</v>
          </cell>
          <cell r="D268" t="str">
            <v>72/2</v>
          </cell>
          <cell r="E268">
            <v>73.099999999999994</v>
          </cell>
          <cell r="F268">
            <v>1.5</v>
          </cell>
          <cell r="G268">
            <v>76.099999999999994</v>
          </cell>
          <cell r="H268">
            <v>1.5E-3</v>
          </cell>
        </row>
        <row r="269">
          <cell r="A269" t="str">
            <v>CUX100</v>
          </cell>
          <cell r="B269" t="str">
            <v>cuivre X</v>
          </cell>
          <cell r="C269" t="str">
            <v>4"</v>
          </cell>
          <cell r="D269" t="str">
            <v>103/1,5</v>
          </cell>
          <cell r="E269">
            <v>105</v>
          </cell>
          <cell r="F269">
            <v>1.5</v>
          </cell>
          <cell r="G269">
            <v>108</v>
          </cell>
          <cell r="H269">
            <v>1.5E-3</v>
          </cell>
        </row>
        <row r="270">
          <cell r="A270" t="str">
            <v>CUX125</v>
          </cell>
          <cell r="B270" t="str">
            <v>cuivre X</v>
          </cell>
          <cell r="C270" t="str">
            <v>5"</v>
          </cell>
          <cell r="D270" t="str">
            <v>130/1,5</v>
          </cell>
          <cell r="E270">
            <v>130</v>
          </cell>
          <cell r="F270">
            <v>1.5</v>
          </cell>
          <cell r="G270">
            <v>133</v>
          </cell>
          <cell r="H270">
            <v>1.5E-3</v>
          </cell>
        </row>
        <row r="271">
          <cell r="A271" t="str">
            <v>CUX150</v>
          </cell>
          <cell r="B271" t="str">
            <v>cuivre X</v>
          </cell>
          <cell r="C271" t="str">
            <v>6"</v>
          </cell>
          <cell r="D271" t="str">
            <v>155/2</v>
          </cell>
          <cell r="E271">
            <v>155</v>
          </cell>
          <cell r="F271">
            <v>2</v>
          </cell>
          <cell r="G271">
            <v>159</v>
          </cell>
          <cell r="H271">
            <v>1.5E-3</v>
          </cell>
        </row>
        <row r="273">
          <cell r="A273" t="str">
            <v>CUZ6</v>
          </cell>
          <cell r="B273" t="str">
            <v>cuivre Z</v>
          </cell>
          <cell r="D273" t="str">
            <v>4/6</v>
          </cell>
          <cell r="E273">
            <v>5</v>
          </cell>
          <cell r="F273">
            <v>0.5</v>
          </cell>
          <cell r="G273">
            <v>6</v>
          </cell>
          <cell r="H273">
            <v>1.5E-3</v>
          </cell>
        </row>
        <row r="274">
          <cell r="A274" t="str">
            <v>CUZ8</v>
          </cell>
          <cell r="B274" t="str">
            <v>cuivre Z</v>
          </cell>
          <cell r="C274" t="str">
            <v>3/8"</v>
          </cell>
          <cell r="D274" t="str">
            <v>6/8</v>
          </cell>
          <cell r="E274">
            <v>7</v>
          </cell>
          <cell r="F274">
            <v>0.5</v>
          </cell>
          <cell r="G274">
            <v>8</v>
          </cell>
          <cell r="H274">
            <v>1.5E-3</v>
          </cell>
        </row>
        <row r="275">
          <cell r="A275" t="str">
            <v>CUZ10</v>
          </cell>
          <cell r="B275" t="str">
            <v>cuivre Z</v>
          </cell>
          <cell r="C275" t="str">
            <v>3/8"</v>
          </cell>
          <cell r="D275" t="str">
            <v>8/10</v>
          </cell>
          <cell r="E275">
            <v>9</v>
          </cell>
          <cell r="F275">
            <v>0.5</v>
          </cell>
          <cell r="G275">
            <v>10</v>
          </cell>
          <cell r="H275">
            <v>1.5E-3</v>
          </cell>
        </row>
        <row r="276">
          <cell r="A276" t="str">
            <v>CUZ12</v>
          </cell>
          <cell r="B276" t="str">
            <v>cuivre Z</v>
          </cell>
          <cell r="C276" t="str">
            <v>5/8"</v>
          </cell>
          <cell r="D276" t="str">
            <v>10/12</v>
          </cell>
          <cell r="E276">
            <v>11</v>
          </cell>
          <cell r="F276">
            <v>0.5</v>
          </cell>
          <cell r="G276">
            <v>12</v>
          </cell>
          <cell r="H276">
            <v>1.5E-3</v>
          </cell>
        </row>
        <row r="277">
          <cell r="A277" t="str">
            <v>CUZ15</v>
          </cell>
          <cell r="B277" t="str">
            <v>cuivre Z</v>
          </cell>
          <cell r="C277" t="str">
            <v>1/2"</v>
          </cell>
          <cell r="D277" t="str">
            <v>14/16</v>
          </cell>
          <cell r="E277">
            <v>14</v>
          </cell>
          <cell r="F277">
            <v>0.5</v>
          </cell>
          <cell r="G277">
            <v>15</v>
          </cell>
          <cell r="H277">
            <v>1.5E-3</v>
          </cell>
        </row>
        <row r="278">
          <cell r="A278" t="str">
            <v>CUZ18</v>
          </cell>
          <cell r="B278" t="str">
            <v>cuivre Z</v>
          </cell>
          <cell r="C278" t="str">
            <v>3/4"</v>
          </cell>
          <cell r="D278" t="str">
            <v>16/18</v>
          </cell>
          <cell r="E278">
            <v>16.8</v>
          </cell>
          <cell r="F278">
            <v>0.6</v>
          </cell>
          <cell r="G278">
            <v>18</v>
          </cell>
          <cell r="H278">
            <v>1.5E-3</v>
          </cell>
        </row>
        <row r="279">
          <cell r="A279" t="str">
            <v>CUZ22</v>
          </cell>
          <cell r="B279" t="str">
            <v>cuivre Z</v>
          </cell>
          <cell r="C279" t="str">
            <v>3/4"</v>
          </cell>
          <cell r="D279" t="str">
            <v>20/22</v>
          </cell>
          <cell r="E279">
            <v>20.8</v>
          </cell>
          <cell r="F279">
            <v>0.6</v>
          </cell>
          <cell r="G279">
            <v>22</v>
          </cell>
          <cell r="H279">
            <v>1.5E-3</v>
          </cell>
        </row>
        <row r="280">
          <cell r="A280" t="str">
            <v>CUZ28</v>
          </cell>
          <cell r="B280" t="str">
            <v>cuivre Z</v>
          </cell>
          <cell r="C280" t="str">
            <v>1"</v>
          </cell>
          <cell r="D280" t="str">
            <v>26/28</v>
          </cell>
          <cell r="E280">
            <v>26.8</v>
          </cell>
          <cell r="F280">
            <v>0.6</v>
          </cell>
          <cell r="G280">
            <v>28</v>
          </cell>
          <cell r="H280">
            <v>1.5E-3</v>
          </cell>
        </row>
        <row r="281">
          <cell r="A281" t="str">
            <v>CUZ35</v>
          </cell>
          <cell r="B281" t="str">
            <v>cuivre Z</v>
          </cell>
          <cell r="C281" t="str">
            <v>1,25"</v>
          </cell>
          <cell r="D281" t="str">
            <v>32/35</v>
          </cell>
          <cell r="E281">
            <v>33.6</v>
          </cell>
          <cell r="F281">
            <v>0.7</v>
          </cell>
          <cell r="G281">
            <v>35</v>
          </cell>
          <cell r="H281">
            <v>1.5E-3</v>
          </cell>
        </row>
        <row r="282">
          <cell r="A282" t="str">
            <v>CUZ42</v>
          </cell>
          <cell r="B282" t="str">
            <v>cuivre Z</v>
          </cell>
          <cell r="C282" t="str">
            <v>1,5"</v>
          </cell>
          <cell r="D282" t="str">
            <v>40/42</v>
          </cell>
          <cell r="E282">
            <v>40.4</v>
          </cell>
          <cell r="F282">
            <v>0.8</v>
          </cell>
          <cell r="G282">
            <v>42</v>
          </cell>
          <cell r="H282">
            <v>1.5E-3</v>
          </cell>
        </row>
        <row r="283">
          <cell r="A283" t="str">
            <v>CUZ54</v>
          </cell>
          <cell r="B283" t="str">
            <v>cuivre Z</v>
          </cell>
          <cell r="C283" t="str">
            <v>2"</v>
          </cell>
          <cell r="D283" t="str">
            <v>52/54</v>
          </cell>
          <cell r="E283">
            <v>52.2</v>
          </cell>
          <cell r="F283">
            <v>0.9</v>
          </cell>
          <cell r="G283">
            <v>54</v>
          </cell>
          <cell r="H283">
            <v>1.5E-3</v>
          </cell>
        </row>
        <row r="284">
          <cell r="A284" t="str">
            <v>CUZ65</v>
          </cell>
          <cell r="B284" t="str">
            <v>cuivre Z</v>
          </cell>
          <cell r="C284" t="str">
            <v>2,5"</v>
          </cell>
          <cell r="D284" t="str">
            <v>64/2</v>
          </cell>
          <cell r="E284">
            <v>64.7</v>
          </cell>
          <cell r="F284">
            <v>1</v>
          </cell>
          <cell r="G284">
            <v>66.7</v>
          </cell>
          <cell r="H284">
            <v>1.5E-3</v>
          </cell>
        </row>
        <row r="285">
          <cell r="A285" t="str">
            <v>CUZ76</v>
          </cell>
          <cell r="B285" t="str">
            <v>cuivre Z</v>
          </cell>
          <cell r="C285" t="str">
            <v>3"</v>
          </cell>
          <cell r="D285" t="str">
            <v>72/2</v>
          </cell>
          <cell r="E285">
            <v>73.7</v>
          </cell>
          <cell r="F285">
            <v>1.2</v>
          </cell>
          <cell r="G285">
            <v>76.099999999999994</v>
          </cell>
          <cell r="H285">
            <v>1.5E-3</v>
          </cell>
        </row>
        <row r="286">
          <cell r="A286" t="str">
            <v>CUZ100</v>
          </cell>
          <cell r="B286" t="str">
            <v>cuivre Z</v>
          </cell>
          <cell r="C286" t="str">
            <v>4"</v>
          </cell>
          <cell r="D286" t="str">
            <v>103/1,5</v>
          </cell>
          <cell r="E286">
            <v>105.6</v>
          </cell>
          <cell r="F286">
            <v>1.2</v>
          </cell>
          <cell r="G286">
            <v>108</v>
          </cell>
          <cell r="H286">
            <v>1.5E-3</v>
          </cell>
        </row>
        <row r="287">
          <cell r="A287" t="str">
            <v>CUZ125</v>
          </cell>
          <cell r="B287" t="str">
            <v>cuivre Z</v>
          </cell>
          <cell r="C287" t="str">
            <v>5"</v>
          </cell>
          <cell r="D287" t="str">
            <v>130/1,5</v>
          </cell>
          <cell r="E287">
            <v>130</v>
          </cell>
          <cell r="F287">
            <v>1.5</v>
          </cell>
          <cell r="G287">
            <v>133</v>
          </cell>
          <cell r="H287">
            <v>1.5E-3</v>
          </cell>
        </row>
        <row r="288">
          <cell r="A288" t="str">
            <v>CUZ150</v>
          </cell>
          <cell r="B288" t="str">
            <v>cuivre Z</v>
          </cell>
          <cell r="C288" t="str">
            <v>6"</v>
          </cell>
          <cell r="D288" t="str">
            <v>155/2</v>
          </cell>
          <cell r="E288">
            <v>156</v>
          </cell>
          <cell r="F288">
            <v>1.5</v>
          </cell>
          <cell r="G288">
            <v>159</v>
          </cell>
          <cell r="H288">
            <v>1.5E-3</v>
          </cell>
        </row>
        <row r="290">
          <cell r="A290" t="str">
            <v>==============</v>
          </cell>
          <cell r="B290" t="str">
            <v>==============</v>
          </cell>
          <cell r="C290" t="str">
            <v>==============</v>
          </cell>
        </row>
        <row r="291">
          <cell r="A291" t="str">
            <v>Tube cuivre</v>
          </cell>
          <cell r="B291" t="str">
            <v>au USA</v>
          </cell>
          <cell r="C291" t="str">
            <v>ASME B31</v>
          </cell>
        </row>
        <row r="292">
          <cell r="A292" t="str">
            <v>==============</v>
          </cell>
          <cell r="B292" t="str">
            <v>==============</v>
          </cell>
          <cell r="C292" t="str">
            <v>==============</v>
          </cell>
        </row>
        <row r="293">
          <cell r="A293" t="str">
            <v>CUK8</v>
          </cell>
          <cell r="B293" t="str">
            <v>cuivre K</v>
          </cell>
          <cell r="C293" t="str">
            <v>1/4"</v>
          </cell>
          <cell r="E293">
            <v>7.746999999999999</v>
          </cell>
          <cell r="F293">
            <v>0.88900000000000001</v>
          </cell>
          <cell r="G293">
            <v>9.5250000000000004</v>
          </cell>
          <cell r="H293">
            <v>1.5E-3</v>
          </cell>
        </row>
        <row r="294">
          <cell r="A294" t="str">
            <v>CUK10</v>
          </cell>
          <cell r="B294" t="str">
            <v>cuivre K</v>
          </cell>
          <cell r="C294" t="str">
            <v>3/8"</v>
          </cell>
          <cell r="E294">
            <v>10.210800000000001</v>
          </cell>
          <cell r="F294">
            <v>1.2445999999999999</v>
          </cell>
          <cell r="G294">
            <v>12.7</v>
          </cell>
          <cell r="H294">
            <v>1.5E-3</v>
          </cell>
        </row>
        <row r="295">
          <cell r="A295" t="str">
            <v>CUK12</v>
          </cell>
          <cell r="B295" t="str">
            <v>cuivre K</v>
          </cell>
          <cell r="C295" t="str">
            <v>5/8"</v>
          </cell>
          <cell r="E295">
            <v>13.3858</v>
          </cell>
          <cell r="F295">
            <v>1.2445999999999999</v>
          </cell>
          <cell r="G295">
            <v>15.875</v>
          </cell>
          <cell r="H295">
            <v>1.5E-3</v>
          </cell>
        </row>
        <row r="296">
          <cell r="A296" t="str">
            <v>CUK15</v>
          </cell>
          <cell r="B296" t="str">
            <v>cuivre K</v>
          </cell>
          <cell r="C296" t="str">
            <v>1/2"</v>
          </cell>
          <cell r="E296">
            <v>16.5608</v>
          </cell>
          <cell r="F296">
            <v>1.2445999999999999</v>
          </cell>
          <cell r="G296">
            <v>19.05</v>
          </cell>
          <cell r="H296">
            <v>1.5E-3</v>
          </cell>
        </row>
        <row r="297">
          <cell r="A297" t="str">
            <v>CUK20</v>
          </cell>
          <cell r="B297" t="str">
            <v>cuivre K</v>
          </cell>
          <cell r="C297" t="str">
            <v>3/4"</v>
          </cell>
          <cell r="E297">
            <v>18.922999999999998</v>
          </cell>
          <cell r="F297">
            <v>0.1651</v>
          </cell>
          <cell r="G297">
            <v>22.225000000000001</v>
          </cell>
          <cell r="H297">
            <v>1.5E-3</v>
          </cell>
        </row>
        <row r="298">
          <cell r="A298" t="str">
            <v>CUK25</v>
          </cell>
          <cell r="B298" t="str">
            <v>cuivre K</v>
          </cell>
          <cell r="C298" t="str">
            <v>1"</v>
          </cell>
          <cell r="E298">
            <v>25.273</v>
          </cell>
          <cell r="F298">
            <v>1.651</v>
          </cell>
          <cell r="G298">
            <v>28.574999999999999</v>
          </cell>
          <cell r="H298">
            <v>1.5E-3</v>
          </cell>
        </row>
        <row r="299">
          <cell r="A299" t="str">
            <v>CUK32</v>
          </cell>
          <cell r="B299" t="str">
            <v>cuivre K</v>
          </cell>
          <cell r="C299" t="str">
            <v>1,25"</v>
          </cell>
          <cell r="E299">
            <v>31.623000000000001</v>
          </cell>
          <cell r="F299">
            <v>1.651</v>
          </cell>
          <cell r="G299">
            <v>34.924999999999997</v>
          </cell>
          <cell r="H299">
            <v>1.5E-3</v>
          </cell>
        </row>
        <row r="300">
          <cell r="A300" t="str">
            <v>CUK40</v>
          </cell>
          <cell r="B300" t="str">
            <v>cuivre K</v>
          </cell>
          <cell r="C300" t="str">
            <v>1,5"</v>
          </cell>
          <cell r="E300">
            <v>37.617400000000004</v>
          </cell>
          <cell r="F300">
            <v>1.8287999999999998</v>
          </cell>
          <cell r="G300">
            <v>41.274999999999999</v>
          </cell>
          <cell r="H300">
            <v>1.5E-3</v>
          </cell>
        </row>
        <row r="301">
          <cell r="A301" t="str">
            <v>CUK50</v>
          </cell>
          <cell r="B301" t="str">
            <v>cuivre K</v>
          </cell>
          <cell r="C301" t="str">
            <v>2"</v>
          </cell>
          <cell r="E301">
            <v>49.758600000000001</v>
          </cell>
          <cell r="F301">
            <v>2.1082000000000001</v>
          </cell>
          <cell r="G301">
            <v>53.975000000000001</v>
          </cell>
          <cell r="H301">
            <v>1.5E-3</v>
          </cell>
        </row>
        <row r="302">
          <cell r="A302" t="str">
            <v>CUK65</v>
          </cell>
          <cell r="B302" t="str">
            <v>cuivre K</v>
          </cell>
          <cell r="C302" t="str">
            <v>2,5"</v>
          </cell>
          <cell r="E302">
            <v>61.848999999999997</v>
          </cell>
          <cell r="F302">
            <v>2.4129999999999998</v>
          </cell>
          <cell r="G302">
            <v>66.674999999999997</v>
          </cell>
          <cell r="H302">
            <v>1.5E-3</v>
          </cell>
        </row>
        <row r="303">
          <cell r="A303" t="str">
            <v>CUK80</v>
          </cell>
          <cell r="B303" t="str">
            <v>cuivre K</v>
          </cell>
          <cell r="C303" t="str">
            <v>3"</v>
          </cell>
          <cell r="E303">
            <v>73.837800000000001</v>
          </cell>
          <cell r="F303">
            <v>2.7685999999999997</v>
          </cell>
          <cell r="G303">
            <v>79.375</v>
          </cell>
          <cell r="H303">
            <v>1.5E-3</v>
          </cell>
        </row>
        <row r="304">
          <cell r="A304" t="str">
            <v>CUK90</v>
          </cell>
          <cell r="B304" t="str">
            <v>cuivre K</v>
          </cell>
          <cell r="C304" t="str">
            <v>3,5"</v>
          </cell>
          <cell r="E304">
            <v>85.978999999999985</v>
          </cell>
          <cell r="F304">
            <v>3.0479999999999996</v>
          </cell>
          <cell r="G304">
            <v>92.075000000000003</v>
          </cell>
          <cell r="H304">
            <v>1.5E-3</v>
          </cell>
        </row>
        <row r="305">
          <cell r="A305" t="str">
            <v>CUK100</v>
          </cell>
          <cell r="B305" t="str">
            <v>cuivre K</v>
          </cell>
          <cell r="C305" t="str">
            <v>4"</v>
          </cell>
          <cell r="E305">
            <v>97.967799999999997</v>
          </cell>
          <cell r="F305">
            <v>3.4036</v>
          </cell>
          <cell r="G305">
            <v>104.77500000000001</v>
          </cell>
          <cell r="H305">
            <v>1.5E-3</v>
          </cell>
        </row>
        <row r="306">
          <cell r="A306" t="str">
            <v>CUK125</v>
          </cell>
          <cell r="B306" t="str">
            <v>cuivre K</v>
          </cell>
          <cell r="C306" t="str">
            <v>5"</v>
          </cell>
          <cell r="E306">
            <v>122.04699999999998</v>
          </cell>
          <cell r="F306">
            <v>4.0640000000000001</v>
          </cell>
          <cell r="G306">
            <v>130.17500000000001</v>
          </cell>
          <cell r="H306">
            <v>1.5E-3</v>
          </cell>
        </row>
        <row r="307">
          <cell r="A307" t="str">
            <v>CUK150</v>
          </cell>
          <cell r="B307" t="str">
            <v>cuivre K</v>
          </cell>
          <cell r="C307" t="str">
            <v>6"</v>
          </cell>
          <cell r="E307">
            <v>145.82139999999998</v>
          </cell>
          <cell r="F307">
            <v>4.8768000000000002</v>
          </cell>
          <cell r="G307">
            <v>155.57499999999999</v>
          </cell>
          <cell r="H307">
            <v>1.5E-3</v>
          </cell>
        </row>
        <row r="308">
          <cell r="A308" t="str">
            <v>CUK200</v>
          </cell>
          <cell r="B308" t="str">
            <v>cuivre K</v>
          </cell>
          <cell r="C308" t="str">
            <v>8"</v>
          </cell>
          <cell r="E308">
            <v>192.60819999999998</v>
          </cell>
          <cell r="F308">
            <v>6.8834</v>
          </cell>
          <cell r="G308">
            <v>206.375</v>
          </cell>
          <cell r="H308">
            <v>1.5E-3</v>
          </cell>
        </row>
        <row r="310">
          <cell r="A310" t="str">
            <v>CUL8</v>
          </cell>
          <cell r="B310" t="str">
            <v>cuivre L</v>
          </cell>
          <cell r="C310" t="str">
            <v>1/4"</v>
          </cell>
          <cell r="E310">
            <v>8.0009999999999994</v>
          </cell>
          <cell r="F310">
            <v>0.7619999999999999</v>
          </cell>
          <cell r="G310">
            <v>9.5250000000000004</v>
          </cell>
          <cell r="H310">
            <v>1.5E-3</v>
          </cell>
        </row>
        <row r="311">
          <cell r="A311" t="str">
            <v>CUL10</v>
          </cell>
          <cell r="B311" t="str">
            <v>cuivre L</v>
          </cell>
          <cell r="C311" t="str">
            <v>3/8"</v>
          </cell>
          <cell r="E311">
            <v>10.921999999999999</v>
          </cell>
          <cell r="F311">
            <v>0.88900000000000001</v>
          </cell>
          <cell r="G311">
            <v>12.7</v>
          </cell>
          <cell r="H311">
            <v>1.5E-3</v>
          </cell>
        </row>
        <row r="312">
          <cell r="A312" t="str">
            <v>CUL12</v>
          </cell>
          <cell r="B312" t="str">
            <v>cuivre L</v>
          </cell>
          <cell r="C312" t="str">
            <v>5/8"</v>
          </cell>
          <cell r="E312">
            <v>13.843</v>
          </cell>
          <cell r="F312">
            <v>1.016</v>
          </cell>
          <cell r="G312">
            <v>15.875</v>
          </cell>
          <cell r="H312">
            <v>1.5E-3</v>
          </cell>
        </row>
        <row r="313">
          <cell r="A313" t="str">
            <v>CUL15</v>
          </cell>
          <cell r="B313" t="str">
            <v>cuivre L</v>
          </cell>
          <cell r="C313" t="str">
            <v>1/2"</v>
          </cell>
          <cell r="E313">
            <v>16.916399999999999</v>
          </cell>
          <cell r="F313">
            <v>1.0668</v>
          </cell>
          <cell r="G313">
            <v>19.05</v>
          </cell>
          <cell r="H313">
            <v>1.5E-3</v>
          </cell>
        </row>
        <row r="314">
          <cell r="A314" t="str">
            <v>CUL20</v>
          </cell>
          <cell r="B314" t="str">
            <v>cuivre L</v>
          </cell>
          <cell r="C314" t="str">
            <v>3/4"</v>
          </cell>
          <cell r="E314">
            <v>19.939</v>
          </cell>
          <cell r="F314">
            <v>1.1429999999999998</v>
          </cell>
          <cell r="G314">
            <v>22.225000000000001</v>
          </cell>
          <cell r="H314">
            <v>1.5E-3</v>
          </cell>
        </row>
        <row r="315">
          <cell r="A315" t="str">
            <v>CUL25</v>
          </cell>
          <cell r="B315" t="str">
            <v>cuivre L</v>
          </cell>
          <cell r="C315" t="str">
            <v>1"</v>
          </cell>
          <cell r="E315">
            <v>26.035</v>
          </cell>
          <cell r="F315">
            <v>1.27</v>
          </cell>
          <cell r="G315">
            <v>28.574999999999999</v>
          </cell>
          <cell r="H315">
            <v>1.5E-3</v>
          </cell>
        </row>
        <row r="316">
          <cell r="A316" t="str">
            <v>CUL32</v>
          </cell>
          <cell r="B316" t="str">
            <v>cuivre L</v>
          </cell>
          <cell r="C316" t="str">
            <v>1,25"</v>
          </cell>
          <cell r="E316">
            <v>32.130999999999993</v>
          </cell>
          <cell r="F316">
            <v>1.397</v>
          </cell>
          <cell r="G316">
            <v>34.924999999999997</v>
          </cell>
          <cell r="H316">
            <v>1.5E-3</v>
          </cell>
        </row>
        <row r="317">
          <cell r="A317" t="str">
            <v>CUL40</v>
          </cell>
          <cell r="B317" t="str">
            <v>cuivre L</v>
          </cell>
          <cell r="C317" t="str">
            <v>1,5"</v>
          </cell>
          <cell r="E317">
            <v>38.226999999999997</v>
          </cell>
          <cell r="F317">
            <v>1.5239999999999998</v>
          </cell>
          <cell r="G317">
            <v>41.274999999999999</v>
          </cell>
          <cell r="H317">
            <v>1.5E-3</v>
          </cell>
        </row>
        <row r="318">
          <cell r="A318" t="str">
            <v>CUL50</v>
          </cell>
          <cell r="B318" t="str">
            <v>cuivre L</v>
          </cell>
          <cell r="C318" t="str">
            <v>2"</v>
          </cell>
          <cell r="E318">
            <v>50.418999999999997</v>
          </cell>
          <cell r="F318">
            <v>1.778</v>
          </cell>
          <cell r="G318">
            <v>53.975000000000001</v>
          </cell>
          <cell r="H318">
            <v>1.5E-3</v>
          </cell>
        </row>
        <row r="319">
          <cell r="A319" t="str">
            <v>CUL65</v>
          </cell>
          <cell r="B319" t="str">
            <v>cuivre L</v>
          </cell>
          <cell r="C319" t="str">
            <v>2,5"</v>
          </cell>
          <cell r="E319">
            <v>62.61099999999999</v>
          </cell>
          <cell r="F319">
            <v>2.032</v>
          </cell>
          <cell r="G319">
            <v>66.674999999999997</v>
          </cell>
          <cell r="H319">
            <v>1.5E-3</v>
          </cell>
        </row>
        <row r="320">
          <cell r="A320" t="str">
            <v>CUL80</v>
          </cell>
          <cell r="B320" t="str">
            <v>cuivre L</v>
          </cell>
          <cell r="C320" t="str">
            <v>3"</v>
          </cell>
          <cell r="E320">
            <v>74.802999999999997</v>
          </cell>
          <cell r="F320">
            <v>2.2859999999999996</v>
          </cell>
          <cell r="G320">
            <v>79.375</v>
          </cell>
          <cell r="H320">
            <v>1.5E-3</v>
          </cell>
        </row>
        <row r="321">
          <cell r="A321" t="str">
            <v>CUL90</v>
          </cell>
          <cell r="B321" t="str">
            <v>cuivre L</v>
          </cell>
          <cell r="C321" t="str">
            <v>3,5"</v>
          </cell>
          <cell r="E321">
            <v>86.995000000000005</v>
          </cell>
          <cell r="F321">
            <v>2.54</v>
          </cell>
          <cell r="G321">
            <v>92.075000000000003</v>
          </cell>
          <cell r="H321">
            <v>1.5E-3</v>
          </cell>
        </row>
        <row r="322">
          <cell r="A322" t="str">
            <v>CUL100</v>
          </cell>
          <cell r="B322" t="str">
            <v>cuivre L</v>
          </cell>
          <cell r="C322" t="str">
            <v>4"</v>
          </cell>
          <cell r="E322">
            <v>99.186999999999983</v>
          </cell>
          <cell r="F322">
            <v>2.794</v>
          </cell>
          <cell r="G322">
            <v>104.77500000000001</v>
          </cell>
          <cell r="H322">
            <v>1.5E-3</v>
          </cell>
        </row>
        <row r="323">
          <cell r="A323" t="str">
            <v>CUL125</v>
          </cell>
          <cell r="B323" t="str">
            <v>cuivre L</v>
          </cell>
          <cell r="C323" t="str">
            <v>5"</v>
          </cell>
          <cell r="E323">
            <v>123.825</v>
          </cell>
          <cell r="F323">
            <v>3.1749999999999998</v>
          </cell>
          <cell r="G323">
            <v>130.17500000000001</v>
          </cell>
          <cell r="H323">
            <v>1.5E-3</v>
          </cell>
        </row>
        <row r="324">
          <cell r="A324" t="str">
            <v>CUL150</v>
          </cell>
          <cell r="B324" t="str">
            <v>cuivre L</v>
          </cell>
          <cell r="C324" t="str">
            <v>6"</v>
          </cell>
          <cell r="E324">
            <v>148.69159999999999</v>
          </cell>
          <cell r="F324">
            <v>3.556</v>
          </cell>
          <cell r="G324">
            <v>155.57499999999999</v>
          </cell>
          <cell r="H324">
            <v>1.5E-3</v>
          </cell>
        </row>
        <row r="325">
          <cell r="A325" t="str">
            <v>CUL200</v>
          </cell>
          <cell r="B325" t="str">
            <v>cuivre L</v>
          </cell>
          <cell r="C325" t="str">
            <v>8"</v>
          </cell>
          <cell r="E325">
            <v>196.215</v>
          </cell>
          <cell r="F325">
            <v>5.08</v>
          </cell>
          <cell r="G325">
            <v>206.375</v>
          </cell>
          <cell r="H325">
            <v>1.5E-3</v>
          </cell>
        </row>
        <row r="327">
          <cell r="A327" t="str">
            <v>CUM8</v>
          </cell>
          <cell r="B327" t="str">
            <v>cuivre M</v>
          </cell>
          <cell r="C327" t="str">
            <v>3/8"</v>
          </cell>
          <cell r="E327">
            <v>11.43</v>
          </cell>
          <cell r="F327">
            <v>0.63500000000000001</v>
          </cell>
          <cell r="G327">
            <v>12.7</v>
          </cell>
          <cell r="H327">
            <v>1.5E-3</v>
          </cell>
        </row>
        <row r="328">
          <cell r="A328" t="str">
            <v>CUM10</v>
          </cell>
          <cell r="B328" t="str">
            <v>cuivre M</v>
          </cell>
          <cell r="C328" t="str">
            <v>1/2"</v>
          </cell>
          <cell r="E328">
            <v>14.452599999999999</v>
          </cell>
          <cell r="F328">
            <v>0.71119999999999994</v>
          </cell>
          <cell r="G328">
            <v>15.875</v>
          </cell>
          <cell r="H328">
            <v>1.5E-3</v>
          </cell>
        </row>
        <row r="329">
          <cell r="A329" t="str">
            <v>CUM12</v>
          </cell>
          <cell r="B329" t="str">
            <v>cuivre M</v>
          </cell>
          <cell r="C329" t="str">
            <v>3/4"</v>
          </cell>
          <cell r="E329">
            <v>20.599399999999999</v>
          </cell>
          <cell r="F329">
            <v>0.81279999999999997</v>
          </cell>
          <cell r="G329">
            <v>22.225000000000001</v>
          </cell>
          <cell r="H329">
            <v>1.5E-3</v>
          </cell>
        </row>
        <row r="330">
          <cell r="A330" t="str">
            <v>CUM15</v>
          </cell>
          <cell r="B330" t="str">
            <v>cuivre M</v>
          </cell>
          <cell r="C330" t="str">
            <v>1"</v>
          </cell>
          <cell r="E330">
            <v>26.796999999999997</v>
          </cell>
          <cell r="F330">
            <v>0.88900000000000001</v>
          </cell>
          <cell r="G330">
            <v>28.574999999999999</v>
          </cell>
          <cell r="H330">
            <v>1.5E-3</v>
          </cell>
        </row>
        <row r="331">
          <cell r="A331" t="str">
            <v>CUM20</v>
          </cell>
          <cell r="B331" t="str">
            <v>cuivre M</v>
          </cell>
          <cell r="C331" t="str">
            <v>1,25"</v>
          </cell>
          <cell r="E331">
            <v>32.791399999999996</v>
          </cell>
          <cell r="F331">
            <v>1.0668</v>
          </cell>
          <cell r="G331">
            <v>34.924999999999997</v>
          </cell>
          <cell r="H331">
            <v>1.5E-3</v>
          </cell>
        </row>
        <row r="332">
          <cell r="A332" t="str">
            <v>CUM25</v>
          </cell>
          <cell r="B332" t="str">
            <v>cuivre M</v>
          </cell>
          <cell r="C332" t="str">
            <v>1,5"</v>
          </cell>
          <cell r="E332">
            <v>38.785799999999995</v>
          </cell>
          <cell r="F332">
            <v>1.2445999999999999</v>
          </cell>
          <cell r="G332">
            <v>41.274999999999999</v>
          </cell>
          <cell r="H332">
            <v>1.5E-3</v>
          </cell>
        </row>
        <row r="333">
          <cell r="A333" t="str">
            <v>CUM32</v>
          </cell>
          <cell r="B333" t="str">
            <v>cuivre M</v>
          </cell>
          <cell r="C333" t="str">
            <v>2"</v>
          </cell>
          <cell r="E333">
            <v>51.028599999999997</v>
          </cell>
          <cell r="F333">
            <v>1.4732000000000001</v>
          </cell>
          <cell r="G333">
            <v>53.975000000000001</v>
          </cell>
          <cell r="H333">
            <v>1.5E-3</v>
          </cell>
        </row>
        <row r="334">
          <cell r="A334" t="str">
            <v>CUM40</v>
          </cell>
          <cell r="B334" t="str">
            <v>cuivre M</v>
          </cell>
          <cell r="C334" t="str">
            <v>2,5"</v>
          </cell>
          <cell r="E334">
            <v>63.372999999999998</v>
          </cell>
          <cell r="F334">
            <v>1.651</v>
          </cell>
          <cell r="G334">
            <v>66.674999999999997</v>
          </cell>
          <cell r="H334">
            <v>1.5E-3</v>
          </cell>
        </row>
        <row r="335">
          <cell r="A335" t="str">
            <v>CUM50</v>
          </cell>
          <cell r="B335" t="str">
            <v>cuivre M</v>
          </cell>
          <cell r="C335" t="str">
            <v>3"</v>
          </cell>
          <cell r="E335">
            <v>75.717399999999998</v>
          </cell>
          <cell r="F335">
            <v>1.8287999999999998</v>
          </cell>
          <cell r="G335">
            <v>79.375</v>
          </cell>
          <cell r="H335">
            <v>1.5E-3</v>
          </cell>
        </row>
        <row r="336">
          <cell r="A336" t="str">
            <v>CUM65</v>
          </cell>
          <cell r="B336" t="str">
            <v>cuivre M</v>
          </cell>
          <cell r="C336" t="str">
            <v>3,5"</v>
          </cell>
          <cell r="E336">
            <v>87.858599999999996</v>
          </cell>
          <cell r="F336">
            <v>2.1082000000000001</v>
          </cell>
          <cell r="G336">
            <v>92.075000000000003</v>
          </cell>
          <cell r="H336">
            <v>1.5E-3</v>
          </cell>
        </row>
        <row r="337">
          <cell r="A337" t="str">
            <v>CUM80</v>
          </cell>
          <cell r="B337" t="str">
            <v>cuivre M</v>
          </cell>
          <cell r="C337" t="str">
            <v>4"</v>
          </cell>
          <cell r="E337">
            <v>99.948999999999998</v>
          </cell>
          <cell r="F337">
            <v>2.4129999999999998</v>
          </cell>
          <cell r="G337">
            <v>104.77500000000001</v>
          </cell>
          <cell r="H337">
            <v>1.5E-3</v>
          </cell>
        </row>
        <row r="338">
          <cell r="A338" t="str">
            <v>CUM90</v>
          </cell>
          <cell r="B338" t="str">
            <v>cuivre M</v>
          </cell>
          <cell r="C338" t="str">
            <v>5"</v>
          </cell>
          <cell r="E338">
            <v>124.6378</v>
          </cell>
          <cell r="F338">
            <v>2.7685999999999997</v>
          </cell>
          <cell r="G338">
            <v>130.17500000000001</v>
          </cell>
          <cell r="H338">
            <v>1.5E-3</v>
          </cell>
        </row>
        <row r="339">
          <cell r="A339" t="str">
            <v>CUM100</v>
          </cell>
          <cell r="B339" t="str">
            <v>cuivre M</v>
          </cell>
          <cell r="C339" t="str">
            <v>6"</v>
          </cell>
          <cell r="E339">
            <v>149.37739999999999</v>
          </cell>
          <cell r="F339">
            <v>3.0987999999999998</v>
          </cell>
          <cell r="G339">
            <v>155.57499999999999</v>
          </cell>
          <cell r="H339">
            <v>1.5E-3</v>
          </cell>
        </row>
        <row r="340">
          <cell r="A340" t="str">
            <v>CUM125</v>
          </cell>
          <cell r="B340" t="str">
            <v>cuivre M</v>
          </cell>
          <cell r="C340" t="str">
            <v>8"</v>
          </cell>
          <cell r="E340">
            <v>197.739</v>
          </cell>
          <cell r="F340">
            <v>4.3180000000000005</v>
          </cell>
          <cell r="G340">
            <v>206.375</v>
          </cell>
          <cell r="H340">
            <v>1.5E-3</v>
          </cell>
        </row>
        <row r="341">
          <cell r="A341" t="str">
            <v>CUM150</v>
          </cell>
          <cell r="B341" t="str">
            <v>cuivre M</v>
          </cell>
          <cell r="C341" t="str">
            <v>10"</v>
          </cell>
          <cell r="E341">
            <v>246.40539999999999</v>
          </cell>
          <cell r="F341">
            <v>5.3847999999999994</v>
          </cell>
          <cell r="G341">
            <v>257.17500000000001</v>
          </cell>
          <cell r="H341">
            <v>1.5E-3</v>
          </cell>
        </row>
        <row r="342">
          <cell r="A342" t="str">
            <v>CUM200</v>
          </cell>
          <cell r="B342" t="str">
            <v>cuivre M</v>
          </cell>
          <cell r="C342" t="str">
            <v>12"</v>
          </cell>
          <cell r="E342">
            <v>295.0718</v>
          </cell>
          <cell r="F342">
            <v>6.4516</v>
          </cell>
          <cell r="G342">
            <v>307.97500000000002</v>
          </cell>
          <cell r="H342">
            <v>1.5E-3</v>
          </cell>
        </row>
        <row r="344">
          <cell r="A344" t="str">
            <v>==============</v>
          </cell>
          <cell r="B344" t="str">
            <v>==============</v>
          </cell>
          <cell r="C344" t="str">
            <v>==============</v>
          </cell>
        </row>
        <row r="345">
          <cell r="A345" t="str">
            <v>Tube fonte</v>
          </cell>
          <cell r="B345" t="str">
            <v>Ductile</v>
          </cell>
        </row>
        <row r="346">
          <cell r="A346" t="str">
            <v>==============</v>
          </cell>
          <cell r="B346" t="str">
            <v>==============</v>
          </cell>
          <cell r="C346" t="str">
            <v>==============</v>
          </cell>
        </row>
        <row r="347">
          <cell r="A347" t="str">
            <v>Tube fonte</v>
          </cell>
          <cell r="B347" t="str">
            <v>standard</v>
          </cell>
          <cell r="C347" t="str">
            <v>à joint</v>
          </cell>
        </row>
        <row r="348">
          <cell r="A348" t="str">
            <v>F60</v>
          </cell>
          <cell r="B348" t="str">
            <v>fonte ductile</v>
          </cell>
          <cell r="C348" t="str">
            <v>2"</v>
          </cell>
          <cell r="D348">
            <v>60</v>
          </cell>
          <cell r="E348">
            <v>67.400000000000006</v>
          </cell>
          <cell r="F348">
            <v>4.8</v>
          </cell>
          <cell r="G348">
            <v>77</v>
          </cell>
          <cell r="H348">
            <v>0.13</v>
          </cell>
        </row>
        <row r="349">
          <cell r="A349" t="str">
            <v>F80</v>
          </cell>
          <cell r="B349" t="str">
            <v>fonte ductile</v>
          </cell>
          <cell r="C349" t="str">
            <v>3 1/2"</v>
          </cell>
          <cell r="D349">
            <v>80</v>
          </cell>
          <cell r="E349">
            <v>88.4</v>
          </cell>
          <cell r="F349">
            <v>4.8</v>
          </cell>
          <cell r="G349">
            <v>98</v>
          </cell>
          <cell r="H349">
            <v>0.13</v>
          </cell>
        </row>
        <row r="350">
          <cell r="A350" t="str">
            <v>F100</v>
          </cell>
          <cell r="B350" t="str">
            <v>fonte ductile</v>
          </cell>
          <cell r="C350" t="str">
            <v>4"</v>
          </cell>
          <cell r="D350">
            <v>100</v>
          </cell>
          <cell r="E350">
            <v>108.4</v>
          </cell>
          <cell r="F350">
            <v>4.8</v>
          </cell>
          <cell r="G350">
            <v>118</v>
          </cell>
          <cell r="H350">
            <v>0.13</v>
          </cell>
        </row>
        <row r="351">
          <cell r="A351" t="str">
            <v>F125</v>
          </cell>
          <cell r="B351" t="str">
            <v>fonte ductile</v>
          </cell>
          <cell r="C351" t="str">
            <v>5"</v>
          </cell>
          <cell r="D351">
            <v>125</v>
          </cell>
          <cell r="E351">
            <v>134.4</v>
          </cell>
          <cell r="F351">
            <v>4.8</v>
          </cell>
          <cell r="G351">
            <v>144</v>
          </cell>
          <cell r="H351">
            <v>0.13</v>
          </cell>
        </row>
        <row r="352">
          <cell r="A352" t="str">
            <v>F150</v>
          </cell>
          <cell r="B352" t="str">
            <v>fonte ductile</v>
          </cell>
          <cell r="C352" t="str">
            <v>6"</v>
          </cell>
          <cell r="D352">
            <v>150</v>
          </cell>
          <cell r="E352">
            <v>160</v>
          </cell>
          <cell r="F352">
            <v>5</v>
          </cell>
          <cell r="G352">
            <v>170</v>
          </cell>
          <cell r="H352">
            <v>0.13</v>
          </cell>
        </row>
        <row r="353">
          <cell r="A353" t="str">
            <v>F200</v>
          </cell>
          <cell r="B353" t="str">
            <v>fonte ductile</v>
          </cell>
          <cell r="C353" t="str">
            <v>8"</v>
          </cell>
          <cell r="D353">
            <v>200</v>
          </cell>
          <cell r="E353">
            <v>211.2</v>
          </cell>
          <cell r="F353">
            <v>5.4</v>
          </cell>
          <cell r="G353">
            <v>222</v>
          </cell>
          <cell r="H353">
            <v>0.13</v>
          </cell>
        </row>
        <row r="354">
          <cell r="A354" t="str">
            <v>F250</v>
          </cell>
          <cell r="B354" t="str">
            <v>fonte ductile</v>
          </cell>
          <cell r="C354" t="str">
            <v>10"</v>
          </cell>
          <cell r="D354">
            <v>250</v>
          </cell>
          <cell r="E354">
            <v>262.39999999999998</v>
          </cell>
          <cell r="F354">
            <v>5.8</v>
          </cell>
          <cell r="G354">
            <v>274</v>
          </cell>
          <cell r="H354">
            <v>0.13</v>
          </cell>
        </row>
        <row r="355">
          <cell r="A355" t="str">
            <v>F300</v>
          </cell>
          <cell r="B355" t="str">
            <v>fonte ductile</v>
          </cell>
          <cell r="C355" t="str">
            <v>12"</v>
          </cell>
          <cell r="D355">
            <v>300</v>
          </cell>
          <cell r="E355">
            <v>313.60000000000002</v>
          </cell>
          <cell r="F355">
            <v>6.2</v>
          </cell>
          <cell r="G355">
            <v>326</v>
          </cell>
          <cell r="H355">
            <v>0.13</v>
          </cell>
        </row>
        <row r="356">
          <cell r="A356" t="str">
            <v>F350</v>
          </cell>
          <cell r="B356" t="str">
            <v>fonte ductile</v>
          </cell>
          <cell r="C356" t="str">
            <v>14"</v>
          </cell>
          <cell r="D356">
            <v>350</v>
          </cell>
          <cell r="E356">
            <v>362.6</v>
          </cell>
          <cell r="F356">
            <v>7.7</v>
          </cell>
          <cell r="G356">
            <v>378</v>
          </cell>
          <cell r="H356">
            <v>0.13</v>
          </cell>
        </row>
        <row r="357">
          <cell r="A357" t="str">
            <v>F400</v>
          </cell>
          <cell r="B357" t="str">
            <v>fonte ductile</v>
          </cell>
          <cell r="C357" t="str">
            <v>16"</v>
          </cell>
          <cell r="D357">
            <v>400</v>
          </cell>
          <cell r="E357">
            <v>412.8</v>
          </cell>
          <cell r="F357">
            <v>8.1</v>
          </cell>
          <cell r="G357">
            <v>429</v>
          </cell>
          <cell r="H357">
            <v>0.13</v>
          </cell>
        </row>
        <row r="358">
          <cell r="A358" t="str">
            <v>F450</v>
          </cell>
          <cell r="B358" t="str">
            <v>fonte ductile</v>
          </cell>
          <cell r="C358" t="str">
            <v>18"</v>
          </cell>
          <cell r="D358">
            <v>450</v>
          </cell>
          <cell r="E358">
            <v>462.8</v>
          </cell>
          <cell r="F358">
            <v>8.6</v>
          </cell>
          <cell r="G358">
            <v>480</v>
          </cell>
          <cell r="H358">
            <v>0.13</v>
          </cell>
        </row>
        <row r="359">
          <cell r="A359" t="str">
            <v>F500</v>
          </cell>
          <cell r="B359" t="str">
            <v>fonte ductile</v>
          </cell>
          <cell r="C359" t="str">
            <v>20"</v>
          </cell>
          <cell r="D359">
            <v>500</v>
          </cell>
          <cell r="E359">
            <v>514</v>
          </cell>
          <cell r="F359">
            <v>9</v>
          </cell>
          <cell r="G359">
            <v>532</v>
          </cell>
          <cell r="H359">
            <v>0.13</v>
          </cell>
        </row>
        <row r="360">
          <cell r="A360" t="str">
            <v>F600</v>
          </cell>
          <cell r="B360" t="str">
            <v>fonte ductile</v>
          </cell>
          <cell r="C360" t="str">
            <v>24"</v>
          </cell>
          <cell r="D360">
            <v>600</v>
          </cell>
          <cell r="E360">
            <v>615.20000000000005</v>
          </cell>
          <cell r="F360">
            <v>9.9</v>
          </cell>
          <cell r="G360">
            <v>635</v>
          </cell>
          <cell r="H360">
            <v>0.13</v>
          </cell>
        </row>
        <row r="361">
          <cell r="A361" t="str">
            <v>F700</v>
          </cell>
          <cell r="B361" t="str">
            <v>fonte ductile</v>
          </cell>
          <cell r="C361" t="str">
            <v>28"</v>
          </cell>
          <cell r="D361">
            <v>700</v>
          </cell>
          <cell r="E361">
            <v>716.4</v>
          </cell>
          <cell r="F361">
            <v>10.8</v>
          </cell>
          <cell r="G361">
            <v>738</v>
          </cell>
          <cell r="H361">
            <v>0.13</v>
          </cell>
        </row>
        <row r="362">
          <cell r="A362" t="str">
            <v>F800</v>
          </cell>
          <cell r="B362" t="str">
            <v>fonte ductile</v>
          </cell>
          <cell r="C362" t="str">
            <v>32"</v>
          </cell>
          <cell r="D362">
            <v>800</v>
          </cell>
          <cell r="E362">
            <v>818.6</v>
          </cell>
          <cell r="F362">
            <v>11.7</v>
          </cell>
          <cell r="G362">
            <v>842</v>
          </cell>
          <cell r="H362">
            <v>0.13</v>
          </cell>
        </row>
        <row r="363">
          <cell r="A363" t="str">
            <v>F900</v>
          </cell>
          <cell r="B363" t="str">
            <v>fonte ductile</v>
          </cell>
          <cell r="C363" t="str">
            <v>36"</v>
          </cell>
          <cell r="D363">
            <v>900</v>
          </cell>
          <cell r="E363">
            <v>919.8</v>
          </cell>
          <cell r="F363">
            <v>12.6</v>
          </cell>
          <cell r="G363">
            <v>945</v>
          </cell>
          <cell r="H363">
            <v>0.13</v>
          </cell>
        </row>
        <row r="364">
          <cell r="A364" t="str">
            <v>F1000</v>
          </cell>
          <cell r="B364" t="str">
            <v>fonte ductile</v>
          </cell>
          <cell r="C364" t="str">
            <v>40"</v>
          </cell>
          <cell r="D364">
            <v>1000</v>
          </cell>
          <cell r="E364">
            <v>1021</v>
          </cell>
          <cell r="F364">
            <v>13.5</v>
          </cell>
          <cell r="G364">
            <v>1048</v>
          </cell>
          <cell r="H364">
            <v>0.13</v>
          </cell>
        </row>
        <row r="365">
          <cell r="A365" t="str">
            <v>F1100</v>
          </cell>
          <cell r="B365" t="str">
            <v>fonte ductile</v>
          </cell>
          <cell r="C365" t="str">
            <v>44"</v>
          </cell>
          <cell r="D365">
            <v>1100</v>
          </cell>
          <cell r="E365">
            <v>1122.2</v>
          </cell>
          <cell r="F365">
            <v>14.4</v>
          </cell>
          <cell r="G365">
            <v>1151</v>
          </cell>
          <cell r="H365">
            <v>0.13</v>
          </cell>
        </row>
        <row r="366">
          <cell r="A366" t="str">
            <v>F1200</v>
          </cell>
          <cell r="B366" t="str">
            <v>fonte ductile</v>
          </cell>
          <cell r="C366" t="str">
            <v>48"</v>
          </cell>
          <cell r="D366">
            <v>1200</v>
          </cell>
          <cell r="E366">
            <v>1224.4000000000001</v>
          </cell>
          <cell r="F366">
            <v>15.3</v>
          </cell>
          <cell r="G366">
            <v>1255</v>
          </cell>
          <cell r="H366">
            <v>0.13</v>
          </cell>
        </row>
        <row r="367">
          <cell r="A367" t="str">
            <v>F1400</v>
          </cell>
          <cell r="B367" t="str">
            <v>fonte ductile</v>
          </cell>
          <cell r="C367" t="str">
            <v>56"</v>
          </cell>
          <cell r="D367">
            <v>1400</v>
          </cell>
          <cell r="E367">
            <v>1427.8</v>
          </cell>
          <cell r="F367">
            <v>17.100000000000001</v>
          </cell>
          <cell r="G367">
            <v>1462</v>
          </cell>
          <cell r="H367">
            <v>0.13</v>
          </cell>
        </row>
        <row r="368">
          <cell r="A368" t="str">
            <v>F1500</v>
          </cell>
          <cell r="B368" t="str">
            <v>fonte ductile</v>
          </cell>
          <cell r="C368" t="str">
            <v>60"</v>
          </cell>
          <cell r="D368">
            <v>1500</v>
          </cell>
          <cell r="E368">
            <v>1529</v>
          </cell>
          <cell r="F368">
            <v>18</v>
          </cell>
          <cell r="G368">
            <v>1565</v>
          </cell>
          <cell r="H368">
            <v>0.13</v>
          </cell>
        </row>
        <row r="369">
          <cell r="A369" t="str">
            <v>F1600</v>
          </cell>
          <cell r="B369" t="str">
            <v>fonte ductile</v>
          </cell>
          <cell r="C369" t="str">
            <v>64"</v>
          </cell>
          <cell r="D369">
            <v>1600</v>
          </cell>
          <cell r="E369">
            <v>1630.2</v>
          </cell>
          <cell r="F369">
            <v>18.899999999999999</v>
          </cell>
          <cell r="G369">
            <v>1668</v>
          </cell>
          <cell r="H369">
            <v>0.13</v>
          </cell>
        </row>
        <row r="370">
          <cell r="A370" t="str">
            <v>F1800</v>
          </cell>
          <cell r="B370" t="str">
            <v>fonte ductile</v>
          </cell>
          <cell r="C370" t="str">
            <v>72"</v>
          </cell>
          <cell r="D370">
            <v>1800</v>
          </cell>
          <cell r="E370">
            <v>1833.6</v>
          </cell>
          <cell r="F370">
            <v>20.7</v>
          </cell>
          <cell r="G370">
            <v>1875</v>
          </cell>
          <cell r="H370">
            <v>0.13</v>
          </cell>
        </row>
        <row r="371">
          <cell r="A371" t="str">
            <v>F2000</v>
          </cell>
          <cell r="B371" t="str">
            <v>fonte ductile</v>
          </cell>
          <cell r="C371" t="str">
            <v>80"</v>
          </cell>
          <cell r="D371">
            <v>2000</v>
          </cell>
          <cell r="E371">
            <v>2037</v>
          </cell>
          <cell r="F371">
            <v>22.5</v>
          </cell>
          <cell r="G371">
            <v>2082</v>
          </cell>
          <cell r="H371">
            <v>0.13</v>
          </cell>
        </row>
        <row r="373">
          <cell r="A373" t="str">
            <v>Tube fonte</v>
          </cell>
          <cell r="B373" t="str">
            <v>haute pression</v>
          </cell>
          <cell r="C373" t="str">
            <v>à joint</v>
          </cell>
        </row>
        <row r="374">
          <cell r="A374" t="str">
            <v>FP80</v>
          </cell>
          <cell r="B374" t="str">
            <v>fonte ductile</v>
          </cell>
          <cell r="C374" t="str">
            <v>3 1/2"</v>
          </cell>
          <cell r="D374">
            <v>80</v>
          </cell>
          <cell r="E374">
            <v>86</v>
          </cell>
          <cell r="F374">
            <v>6</v>
          </cell>
          <cell r="G374">
            <v>98</v>
          </cell>
          <cell r="H374">
            <v>0.13</v>
          </cell>
        </row>
        <row r="375">
          <cell r="A375" t="str">
            <v>FP100</v>
          </cell>
          <cell r="B375" t="str">
            <v>fonte ductile</v>
          </cell>
          <cell r="C375" t="str">
            <v>4"</v>
          </cell>
          <cell r="D375">
            <v>100</v>
          </cell>
          <cell r="E375">
            <v>103.6</v>
          </cell>
          <cell r="F375">
            <v>7.2</v>
          </cell>
          <cell r="G375">
            <v>118</v>
          </cell>
          <cell r="H375">
            <v>0.13</v>
          </cell>
        </row>
        <row r="376">
          <cell r="A376" t="str">
            <v>FP125</v>
          </cell>
          <cell r="B376" t="str">
            <v>fonte ductile</v>
          </cell>
          <cell r="C376" t="str">
            <v>5"</v>
          </cell>
          <cell r="D376">
            <v>125</v>
          </cell>
          <cell r="E376">
            <v>129</v>
          </cell>
          <cell r="F376">
            <v>7.5</v>
          </cell>
          <cell r="G376">
            <v>144</v>
          </cell>
          <cell r="H376">
            <v>0.13</v>
          </cell>
        </row>
        <row r="377">
          <cell r="A377" t="str">
            <v>FP150</v>
          </cell>
          <cell r="B377" t="str">
            <v>fonte ductile</v>
          </cell>
          <cell r="C377" t="str">
            <v>6"</v>
          </cell>
          <cell r="D377">
            <v>150</v>
          </cell>
          <cell r="E377">
            <v>154.4</v>
          </cell>
          <cell r="F377">
            <v>7.8</v>
          </cell>
          <cell r="G377">
            <v>170</v>
          </cell>
          <cell r="H377">
            <v>0.13</v>
          </cell>
        </row>
        <row r="378">
          <cell r="A378" t="str">
            <v>FP200</v>
          </cell>
          <cell r="B378" t="str">
            <v>fonte ductile</v>
          </cell>
          <cell r="C378" t="str">
            <v>8"</v>
          </cell>
          <cell r="D378">
            <v>200</v>
          </cell>
          <cell r="E378">
            <v>205.2</v>
          </cell>
          <cell r="F378">
            <v>8.4</v>
          </cell>
          <cell r="G378">
            <v>222</v>
          </cell>
          <cell r="H378">
            <v>0.13</v>
          </cell>
        </row>
        <row r="379">
          <cell r="A379" t="str">
            <v>FP250</v>
          </cell>
          <cell r="B379" t="str">
            <v>fonte ductile</v>
          </cell>
          <cell r="C379" t="str">
            <v>10"</v>
          </cell>
          <cell r="D379">
            <v>250</v>
          </cell>
          <cell r="E379">
            <v>253</v>
          </cell>
          <cell r="F379">
            <v>9</v>
          </cell>
          <cell r="G379">
            <v>271</v>
          </cell>
          <cell r="H379">
            <v>0.13</v>
          </cell>
        </row>
        <row r="380">
          <cell r="A380" t="str">
            <v>FP300</v>
          </cell>
          <cell r="B380" t="str">
            <v>fonte ductile</v>
          </cell>
          <cell r="C380" t="str">
            <v>12"</v>
          </cell>
          <cell r="D380">
            <v>300</v>
          </cell>
          <cell r="E380">
            <v>306.8</v>
          </cell>
          <cell r="F380">
            <v>9.6</v>
          </cell>
          <cell r="G380">
            <v>326</v>
          </cell>
          <cell r="H380">
            <v>0.13</v>
          </cell>
        </row>
        <row r="382">
          <cell r="A382" t="str">
            <v>==============</v>
          </cell>
          <cell r="B382" t="str">
            <v>==============</v>
          </cell>
          <cell r="C382" t="str">
            <v>==============</v>
          </cell>
        </row>
        <row r="383">
          <cell r="A383" t="str">
            <v>Tubes</v>
          </cell>
          <cell r="B383" t="str">
            <v>PVC chauffage</v>
          </cell>
          <cell r="C383" t="str">
            <v>Plancher chauffant</v>
          </cell>
        </row>
        <row r="384">
          <cell r="A384" t="str">
            <v>==============</v>
          </cell>
          <cell r="B384" t="str">
            <v>==============</v>
          </cell>
          <cell r="C384" t="str">
            <v>==============</v>
          </cell>
        </row>
        <row r="385">
          <cell r="A385" t="str">
            <v>CH12</v>
          </cell>
          <cell r="B385" t="str">
            <v>PVC-chauf.sol</v>
          </cell>
          <cell r="C385" t="str">
            <v>12/1,1</v>
          </cell>
          <cell r="D385" t="str">
            <v>DN12 - 3/8"</v>
          </cell>
          <cell r="E385">
            <v>9.8000000000000007</v>
          </cell>
          <cell r="G385">
            <v>12</v>
          </cell>
          <cell r="H385">
            <v>3.0000000000000001E-3</v>
          </cell>
        </row>
        <row r="386">
          <cell r="A386" t="str">
            <v>CH16</v>
          </cell>
          <cell r="B386" t="str">
            <v>PVC-chauf.sol</v>
          </cell>
          <cell r="C386" t="str">
            <v>16/1,5</v>
          </cell>
          <cell r="D386" t="str">
            <v>DN15 - 1/2"</v>
          </cell>
          <cell r="E386">
            <v>13</v>
          </cell>
          <cell r="G386">
            <v>16</v>
          </cell>
          <cell r="H386">
            <v>3.0000000000000001E-3</v>
          </cell>
        </row>
        <row r="387">
          <cell r="A387" t="str">
            <v>CH20</v>
          </cell>
          <cell r="B387" t="str">
            <v>PVC-chauf.sol</v>
          </cell>
          <cell r="C387" t="str">
            <v>20/2</v>
          </cell>
          <cell r="D387" t="str">
            <v>DN20 - 3/4"</v>
          </cell>
          <cell r="E387">
            <v>16.2</v>
          </cell>
          <cell r="G387">
            <v>20</v>
          </cell>
          <cell r="H387">
            <v>3.0000000000000001E-3</v>
          </cell>
        </row>
        <row r="388">
          <cell r="A388" t="str">
            <v>CH25</v>
          </cell>
          <cell r="B388" t="str">
            <v>PVC-chauf.sol</v>
          </cell>
          <cell r="C388" t="str">
            <v>25/2,3</v>
          </cell>
          <cell r="D388" t="str">
            <v>DN25 - 1"</v>
          </cell>
          <cell r="E388">
            <v>20.399999999999999</v>
          </cell>
          <cell r="G388">
            <v>25</v>
          </cell>
          <cell r="H388">
            <v>3.0000000000000001E-3</v>
          </cell>
        </row>
        <row r="390">
          <cell r="A390" t="str">
            <v>==============</v>
          </cell>
          <cell r="B390" t="str">
            <v>==============</v>
          </cell>
          <cell r="C390" t="str">
            <v>==============</v>
          </cell>
        </row>
        <row r="391">
          <cell r="A391" t="str">
            <v>Tubes</v>
          </cell>
          <cell r="B391" t="str">
            <v>PVC-polyétylène-v</v>
          </cell>
          <cell r="C391" t="str">
            <v>Eau pression</v>
          </cell>
        </row>
        <row r="392">
          <cell r="A392" t="str">
            <v>==============</v>
          </cell>
          <cell r="B392" t="str">
            <v>==============</v>
          </cell>
          <cell r="C392" t="str">
            <v>==============</v>
          </cell>
        </row>
        <row r="393">
          <cell r="A393" t="str">
            <v>PVC16-25</v>
          </cell>
          <cell r="B393" t="str">
            <v>pvc25bars(poly-V)</v>
          </cell>
          <cell r="C393" t="str">
            <v>16/1,8</v>
          </cell>
          <cell r="D393" t="str">
            <v>DN12 - 3/8"</v>
          </cell>
          <cell r="E393">
            <v>12.4</v>
          </cell>
          <cell r="F393" t="str">
            <v>1,8</v>
          </cell>
          <cell r="G393">
            <v>16</v>
          </cell>
          <cell r="H393">
            <v>3.0000000000000001E-3</v>
          </cell>
        </row>
        <row r="394">
          <cell r="A394" t="str">
            <v>PVC20-25</v>
          </cell>
          <cell r="B394" t="str">
            <v>pvc25bars(poly-V)</v>
          </cell>
          <cell r="C394" t="str">
            <v>20/2,3</v>
          </cell>
          <cell r="D394" t="str">
            <v>DN15 - 1/2"</v>
          </cell>
          <cell r="E394">
            <v>15.4</v>
          </cell>
          <cell r="F394" t="str">
            <v>2,3</v>
          </cell>
          <cell r="G394">
            <v>20</v>
          </cell>
          <cell r="H394">
            <v>3.0000000000000001E-3</v>
          </cell>
        </row>
        <row r="395">
          <cell r="A395" t="str">
            <v>PVC25-25</v>
          </cell>
          <cell r="B395" t="str">
            <v>pvc25bars(poly-V)</v>
          </cell>
          <cell r="C395" t="str">
            <v>25/2,8</v>
          </cell>
          <cell r="D395" t="str">
            <v>DN20 - 3/4"</v>
          </cell>
          <cell r="E395">
            <v>19.399999999999999</v>
          </cell>
          <cell r="F395" t="str">
            <v>2,8</v>
          </cell>
          <cell r="G395">
            <v>25</v>
          </cell>
          <cell r="H395">
            <v>3.0000000000000001E-3</v>
          </cell>
        </row>
        <row r="396">
          <cell r="A396" t="str">
            <v>PVC32-25</v>
          </cell>
          <cell r="B396" t="str">
            <v>pvc25bars(poly-V)</v>
          </cell>
          <cell r="C396" t="str">
            <v>32/3,6</v>
          </cell>
          <cell r="D396" t="str">
            <v>DN25 - 1"</v>
          </cell>
          <cell r="E396">
            <v>24.8</v>
          </cell>
          <cell r="F396" t="str">
            <v>3,6</v>
          </cell>
          <cell r="G396">
            <v>32</v>
          </cell>
          <cell r="H396">
            <v>3.0000000000000001E-3</v>
          </cell>
        </row>
        <row r="397">
          <cell r="A397" t="str">
            <v>PVC32-16</v>
          </cell>
          <cell r="B397" t="str">
            <v>pvc16bars(poly-V)</v>
          </cell>
          <cell r="C397" t="str">
            <v>32/2,4</v>
          </cell>
          <cell r="D397" t="str">
            <v>DN25 - 1"</v>
          </cell>
          <cell r="E397">
            <v>27.2</v>
          </cell>
          <cell r="F397" t="str">
            <v>2,4</v>
          </cell>
          <cell r="G397">
            <v>32</v>
          </cell>
          <cell r="H397">
            <v>3.0000000000000001E-3</v>
          </cell>
        </row>
        <row r="398">
          <cell r="A398" t="str">
            <v>PVC40-25</v>
          </cell>
          <cell r="B398" t="str">
            <v>pvc25bars(poly-V)</v>
          </cell>
          <cell r="C398" t="str">
            <v>40/4,5</v>
          </cell>
          <cell r="D398" t="str">
            <v>DN32 - 1 1/4"</v>
          </cell>
          <cell r="E398">
            <v>31</v>
          </cell>
          <cell r="F398" t="str">
            <v>4,5</v>
          </cell>
          <cell r="G398">
            <v>40</v>
          </cell>
          <cell r="H398">
            <v>3.0000000000000001E-3</v>
          </cell>
        </row>
        <row r="399">
          <cell r="A399" t="str">
            <v>PVC40-16</v>
          </cell>
          <cell r="B399" t="str">
            <v>pvc16bars(poly-V)</v>
          </cell>
          <cell r="C399" t="str">
            <v>40/3</v>
          </cell>
          <cell r="D399" t="str">
            <v>DN32 - 1 1/4"</v>
          </cell>
          <cell r="E399">
            <v>34</v>
          </cell>
          <cell r="F399" t="str">
            <v>3</v>
          </cell>
          <cell r="G399">
            <v>40</v>
          </cell>
          <cell r="H399">
            <v>3.0000000000000001E-3</v>
          </cell>
        </row>
        <row r="400">
          <cell r="A400" t="str">
            <v>PVC50-25</v>
          </cell>
          <cell r="B400" t="str">
            <v>pvc25bars(poly-V)</v>
          </cell>
          <cell r="C400" t="str">
            <v>50/5,6</v>
          </cell>
          <cell r="D400" t="str">
            <v>DN40 - 1.5"</v>
          </cell>
          <cell r="E400">
            <v>38.799999999999997</v>
          </cell>
          <cell r="F400" t="str">
            <v>5,6</v>
          </cell>
          <cell r="G400">
            <v>50</v>
          </cell>
          <cell r="H400">
            <v>3.0000000000000001E-3</v>
          </cell>
        </row>
        <row r="401">
          <cell r="A401" t="str">
            <v>PVC50-16</v>
          </cell>
          <cell r="B401" t="str">
            <v>pvc16bars(poly-V)</v>
          </cell>
          <cell r="C401" t="str">
            <v>50/3,7</v>
          </cell>
          <cell r="D401" t="str">
            <v>DN40 - 1.5"</v>
          </cell>
          <cell r="E401">
            <v>42.6</v>
          </cell>
          <cell r="F401" t="str">
            <v>3,7</v>
          </cell>
          <cell r="G401">
            <v>50</v>
          </cell>
          <cell r="H401">
            <v>3.0000000000000001E-3</v>
          </cell>
        </row>
        <row r="402">
          <cell r="A402" t="str">
            <v>PVC63-16</v>
          </cell>
          <cell r="B402" t="str">
            <v>pvc16bars(poly-V)</v>
          </cell>
          <cell r="C402" t="str">
            <v>63/4,7</v>
          </cell>
          <cell r="D402" t="str">
            <v>DN50 - 2"</v>
          </cell>
          <cell r="E402">
            <v>53.6</v>
          </cell>
          <cell r="F402" t="str">
            <v>4,7</v>
          </cell>
          <cell r="G402">
            <v>63</v>
          </cell>
          <cell r="H402">
            <v>3.0000000000000001E-3</v>
          </cell>
        </row>
        <row r="403">
          <cell r="A403" t="str">
            <v>PVC75-16</v>
          </cell>
          <cell r="B403" t="str">
            <v>pvc16bars(poly-V)</v>
          </cell>
          <cell r="C403" t="str">
            <v>75/5,5</v>
          </cell>
          <cell r="D403" t="str">
            <v>DN65 - 2.5"</v>
          </cell>
          <cell r="E403">
            <v>64</v>
          </cell>
          <cell r="F403" t="str">
            <v>5,5</v>
          </cell>
          <cell r="G403">
            <v>75</v>
          </cell>
          <cell r="H403">
            <v>3.0000000000000001E-3</v>
          </cell>
        </row>
        <row r="404">
          <cell r="A404" t="str">
            <v>PVC90-16</v>
          </cell>
          <cell r="B404" t="str">
            <v>pvc16bars(poly-V)</v>
          </cell>
          <cell r="C404" t="str">
            <v>90/6,6</v>
          </cell>
          <cell r="D404" t="str">
            <v>DN80 - 3"</v>
          </cell>
          <cell r="E404">
            <v>76.8</v>
          </cell>
          <cell r="F404" t="str">
            <v>6,6</v>
          </cell>
          <cell r="G404">
            <v>90</v>
          </cell>
          <cell r="H404">
            <v>3.0000000000000001E-3</v>
          </cell>
        </row>
        <row r="405">
          <cell r="A405" t="str">
            <v>PVC90-10</v>
          </cell>
          <cell r="B405" t="str">
            <v>pvc10bars(poly-V)</v>
          </cell>
          <cell r="C405" t="str">
            <v>90/4,3</v>
          </cell>
          <cell r="D405" t="str">
            <v>DN80 - 3"</v>
          </cell>
          <cell r="E405">
            <v>81.400000000000006</v>
          </cell>
          <cell r="F405" t="str">
            <v>4,3</v>
          </cell>
          <cell r="G405">
            <v>90</v>
          </cell>
          <cell r="H405">
            <v>3.0000000000000001E-3</v>
          </cell>
        </row>
        <row r="406">
          <cell r="A406" t="str">
            <v>PVC110-16</v>
          </cell>
          <cell r="B406" t="str">
            <v>pvc16bars(poly-V)</v>
          </cell>
          <cell r="C406" t="str">
            <v>110/8,1</v>
          </cell>
          <cell r="D406" t="str">
            <v>DN100 - 4"</v>
          </cell>
          <cell r="E406">
            <v>93.8</v>
          </cell>
          <cell r="F406" t="str">
            <v>8,1</v>
          </cell>
          <cell r="G406">
            <v>110</v>
          </cell>
          <cell r="H406">
            <v>3.0000000000000001E-3</v>
          </cell>
        </row>
        <row r="407">
          <cell r="A407" t="str">
            <v>PVC110-10</v>
          </cell>
          <cell r="B407" t="str">
            <v>pvc10bars(poly-V)</v>
          </cell>
          <cell r="C407" t="str">
            <v>110/5,3</v>
          </cell>
          <cell r="D407" t="str">
            <v>DN100 - 4"</v>
          </cell>
          <cell r="E407">
            <v>99.4</v>
          </cell>
          <cell r="F407" t="str">
            <v>5,3</v>
          </cell>
          <cell r="G407">
            <v>110</v>
          </cell>
          <cell r="H407">
            <v>3.0000000000000001E-3</v>
          </cell>
        </row>
        <row r="408">
          <cell r="A408" t="str">
            <v>PVC125-16</v>
          </cell>
          <cell r="B408" t="str">
            <v>pvc16bars(poly-V)</v>
          </cell>
          <cell r="C408" t="str">
            <v>125/9,2</v>
          </cell>
          <cell r="D408" t="str">
            <v>DN125 - 5"</v>
          </cell>
          <cell r="E408">
            <v>106.6</v>
          </cell>
          <cell r="F408" t="str">
            <v>9,2</v>
          </cell>
          <cell r="G408">
            <v>125</v>
          </cell>
          <cell r="H408">
            <v>3.0000000000000001E-3</v>
          </cell>
        </row>
        <row r="409">
          <cell r="A409" t="str">
            <v>PVC125-10</v>
          </cell>
          <cell r="B409" t="str">
            <v>pvc10bars(poly-V)</v>
          </cell>
          <cell r="C409" t="str">
            <v>125/6</v>
          </cell>
          <cell r="D409" t="str">
            <v>DN125 - 5"</v>
          </cell>
          <cell r="E409">
            <v>113</v>
          </cell>
          <cell r="F409" t="str">
            <v>6</v>
          </cell>
          <cell r="G409">
            <v>125</v>
          </cell>
          <cell r="H409">
            <v>3.0000000000000001E-3</v>
          </cell>
        </row>
        <row r="410">
          <cell r="A410" t="str">
            <v>PVC140-16</v>
          </cell>
          <cell r="B410" t="str">
            <v>pvc16bars(poly-V)</v>
          </cell>
          <cell r="C410" t="str">
            <v>140/9,3</v>
          </cell>
          <cell r="D410">
            <v>5.5</v>
          </cell>
          <cell r="E410">
            <v>121.4</v>
          </cell>
          <cell r="F410" t="str">
            <v>9,3</v>
          </cell>
          <cell r="G410">
            <v>140</v>
          </cell>
          <cell r="H410">
            <v>3.0000000000000001E-3</v>
          </cell>
        </row>
        <row r="411">
          <cell r="A411" t="str">
            <v>PVC140-10</v>
          </cell>
          <cell r="B411" t="str">
            <v>pvc10bars(poly-V)</v>
          </cell>
          <cell r="C411" t="str">
            <v>140/6,1</v>
          </cell>
          <cell r="D411">
            <v>5.5</v>
          </cell>
          <cell r="E411">
            <v>127.8</v>
          </cell>
          <cell r="F411" t="str">
            <v>6,1</v>
          </cell>
          <cell r="G411">
            <v>140</v>
          </cell>
          <cell r="H411">
            <v>3.0000000000000001E-3</v>
          </cell>
        </row>
        <row r="412">
          <cell r="A412" t="str">
            <v>PVC160-16</v>
          </cell>
          <cell r="B412" t="str">
            <v>pvc16bars(poly-V)</v>
          </cell>
          <cell r="C412" t="str">
            <v>160/9,5</v>
          </cell>
          <cell r="D412" t="str">
            <v>DN150 - 6"</v>
          </cell>
          <cell r="E412">
            <v>141</v>
          </cell>
          <cell r="F412" t="str">
            <v>9,5</v>
          </cell>
          <cell r="G412">
            <v>160</v>
          </cell>
          <cell r="H412">
            <v>3.0000000000000001E-3</v>
          </cell>
        </row>
        <row r="413">
          <cell r="A413" t="str">
            <v>PVC160-10</v>
          </cell>
          <cell r="B413" t="str">
            <v>pvc10bars(poly-V)</v>
          </cell>
          <cell r="C413" t="str">
            <v>160/6,2</v>
          </cell>
          <cell r="D413" t="str">
            <v>DN150 - 6"</v>
          </cell>
          <cell r="E413">
            <v>147.6</v>
          </cell>
          <cell r="F413" t="str">
            <v>6,2</v>
          </cell>
          <cell r="G413">
            <v>160</v>
          </cell>
          <cell r="H413">
            <v>3.0000000000000001E-3</v>
          </cell>
        </row>
        <row r="414">
          <cell r="A414" t="str">
            <v>PVC200-16</v>
          </cell>
          <cell r="B414" t="str">
            <v>pvc16bars(poly-V)</v>
          </cell>
          <cell r="C414" t="str">
            <v>200/11,9</v>
          </cell>
          <cell r="D414" t="str">
            <v>DN200 - 8"</v>
          </cell>
          <cell r="E414">
            <v>176.2</v>
          </cell>
          <cell r="F414" t="str">
            <v>11,9</v>
          </cell>
          <cell r="G414">
            <v>200</v>
          </cell>
          <cell r="H414">
            <v>3.0000000000000001E-3</v>
          </cell>
        </row>
        <row r="415">
          <cell r="A415" t="str">
            <v>PVC200-10</v>
          </cell>
          <cell r="B415" t="str">
            <v>pvc10bars(poly-V)</v>
          </cell>
          <cell r="C415" t="str">
            <v>200/7,7</v>
          </cell>
          <cell r="D415" t="str">
            <v>DN200 - 8"</v>
          </cell>
          <cell r="E415">
            <v>184.6</v>
          </cell>
          <cell r="F415" t="str">
            <v>7,7</v>
          </cell>
          <cell r="G415">
            <v>200</v>
          </cell>
          <cell r="H415">
            <v>3.0000000000000001E-3</v>
          </cell>
        </row>
        <row r="416">
          <cell r="A416" t="str">
            <v>PVC225-16</v>
          </cell>
          <cell r="B416" t="str">
            <v>pvc16bars(poly-V)</v>
          </cell>
          <cell r="C416" t="str">
            <v>225/13,4</v>
          </cell>
          <cell r="D416">
            <v>9</v>
          </cell>
          <cell r="E416">
            <v>196.2</v>
          </cell>
          <cell r="F416" t="str">
            <v>13,4</v>
          </cell>
          <cell r="G416">
            <v>225</v>
          </cell>
          <cell r="H416">
            <v>3.0000000000000001E-3</v>
          </cell>
        </row>
        <row r="417">
          <cell r="A417" t="str">
            <v>PVC225-10</v>
          </cell>
          <cell r="B417" t="str">
            <v>pvc10bars(poly-V)</v>
          </cell>
          <cell r="C417" t="str">
            <v>225/8,6</v>
          </cell>
          <cell r="D417">
            <v>9</v>
          </cell>
          <cell r="E417">
            <v>207.8</v>
          </cell>
          <cell r="F417" t="str">
            <v>8,6</v>
          </cell>
          <cell r="G417">
            <v>225</v>
          </cell>
          <cell r="H417">
            <v>3.0000000000000001E-3</v>
          </cell>
        </row>
        <row r="418">
          <cell r="A418" t="str">
            <v>PVC250-16</v>
          </cell>
          <cell r="B418" t="str">
            <v>pvc16bars(poly-V)</v>
          </cell>
          <cell r="C418" t="str">
            <v>250/14,8</v>
          </cell>
          <cell r="D418" t="str">
            <v>DN250 - 10"</v>
          </cell>
          <cell r="E418">
            <v>220.4</v>
          </cell>
          <cell r="F418" t="str">
            <v>14,8</v>
          </cell>
          <cell r="G418">
            <v>250</v>
          </cell>
          <cell r="H418">
            <v>3.0000000000000001E-3</v>
          </cell>
        </row>
        <row r="419">
          <cell r="A419" t="str">
            <v>PVC250-10</v>
          </cell>
          <cell r="B419" t="str">
            <v>pvc10bars(poly-V)</v>
          </cell>
          <cell r="C419" t="str">
            <v>250/9,6</v>
          </cell>
          <cell r="D419" t="str">
            <v>DN250 - 10"</v>
          </cell>
          <cell r="E419">
            <v>230.8</v>
          </cell>
          <cell r="F419" t="str">
            <v>9,6</v>
          </cell>
          <cell r="G419">
            <v>250</v>
          </cell>
          <cell r="H419">
            <v>3.0000000000000001E-3</v>
          </cell>
        </row>
        <row r="420">
          <cell r="A420" t="str">
            <v>PVC315-16</v>
          </cell>
          <cell r="B420" t="str">
            <v>pvc16bars(poly-V)</v>
          </cell>
          <cell r="C420" t="str">
            <v>315/18,7</v>
          </cell>
          <cell r="D420" t="str">
            <v>DN300 - 12"</v>
          </cell>
          <cell r="E420">
            <v>277.60000000000002</v>
          </cell>
          <cell r="F420" t="str">
            <v>18,7</v>
          </cell>
          <cell r="G420">
            <v>315</v>
          </cell>
          <cell r="H420">
            <v>3.0000000000000001E-3</v>
          </cell>
        </row>
        <row r="422">
          <cell r="A422" t="str">
            <v>==============</v>
          </cell>
          <cell r="B422" t="str">
            <v>==============</v>
          </cell>
          <cell r="C422" t="str">
            <v>==============</v>
          </cell>
        </row>
        <row r="423">
          <cell r="A423" t="str">
            <v>Tubes</v>
          </cell>
          <cell r="B423" t="str">
            <v>PVC-PEhD</v>
          </cell>
          <cell r="C423" t="str">
            <v>Eau pression</v>
          </cell>
        </row>
        <row r="424">
          <cell r="A424" t="str">
            <v>==============</v>
          </cell>
          <cell r="B424" t="str">
            <v>==============</v>
          </cell>
          <cell r="C424" t="str">
            <v>==============</v>
          </cell>
        </row>
        <row r="425">
          <cell r="A425" t="str">
            <v>PH12</v>
          </cell>
          <cell r="B425" t="str">
            <v>pvc25bars(PEhD)</v>
          </cell>
          <cell r="C425" t="str">
            <v>8,2x12</v>
          </cell>
          <cell r="E425">
            <v>9.1999999999999993</v>
          </cell>
          <cell r="F425" t="str">
            <v>1,4</v>
          </cell>
          <cell r="G425">
            <v>12</v>
          </cell>
          <cell r="H425">
            <v>3.0000000000000001E-3</v>
          </cell>
        </row>
        <row r="426">
          <cell r="A426" t="str">
            <v>PH15</v>
          </cell>
          <cell r="B426" t="str">
            <v>pvc25bars(PEhD)</v>
          </cell>
          <cell r="C426" t="str">
            <v>12,4x16</v>
          </cell>
          <cell r="D426" t="str">
            <v>DN12 - 3/8"</v>
          </cell>
          <cell r="E426">
            <v>12.4</v>
          </cell>
          <cell r="F426" t="str">
            <v>1,8</v>
          </cell>
          <cell r="G426">
            <v>16</v>
          </cell>
          <cell r="H426">
            <v>3.0000000000000001E-3</v>
          </cell>
        </row>
        <row r="427">
          <cell r="A427" t="str">
            <v>PH20</v>
          </cell>
          <cell r="B427" t="str">
            <v>pvc25bars(PEhD)</v>
          </cell>
          <cell r="C427" t="str">
            <v>15,4x20</v>
          </cell>
          <cell r="D427" t="str">
            <v>DN15 - 1/2"</v>
          </cell>
          <cell r="E427">
            <v>15.4</v>
          </cell>
          <cell r="F427" t="str">
            <v>2,3</v>
          </cell>
          <cell r="G427">
            <v>20</v>
          </cell>
          <cell r="H427">
            <v>3.0000000000000001E-3</v>
          </cell>
        </row>
        <row r="428">
          <cell r="A428" t="str">
            <v>PH25</v>
          </cell>
          <cell r="B428" t="str">
            <v>pvc25bars(PEhD)</v>
          </cell>
          <cell r="C428" t="str">
            <v>19,4x25</v>
          </cell>
          <cell r="D428" t="str">
            <v>DN20 - 3/4"</v>
          </cell>
          <cell r="E428">
            <v>19.399999999999999</v>
          </cell>
          <cell r="F428" t="str">
            <v>2,8</v>
          </cell>
          <cell r="G428">
            <v>25</v>
          </cell>
          <cell r="H428">
            <v>3.0000000000000001E-3</v>
          </cell>
        </row>
        <row r="429">
          <cell r="A429" t="str">
            <v>PH32-25</v>
          </cell>
          <cell r="B429" t="str">
            <v>pvc25bars(PEhD)</v>
          </cell>
          <cell r="C429" t="str">
            <v>24,8x32</v>
          </cell>
          <cell r="D429" t="str">
            <v>DN25 - 1"</v>
          </cell>
          <cell r="E429">
            <v>24.8</v>
          </cell>
          <cell r="F429" t="str">
            <v>3,6</v>
          </cell>
          <cell r="G429">
            <v>32</v>
          </cell>
          <cell r="H429">
            <v>3.0000000000000001E-3</v>
          </cell>
        </row>
        <row r="430">
          <cell r="A430" t="str">
            <v>PH32-16</v>
          </cell>
          <cell r="B430" t="str">
            <v>pvc16bars(PEhD)</v>
          </cell>
          <cell r="C430" t="str">
            <v>27,2x32</v>
          </cell>
          <cell r="D430" t="str">
            <v>DN25 - 1"</v>
          </cell>
          <cell r="E430">
            <v>27.2</v>
          </cell>
          <cell r="F430" t="str">
            <v>2,4</v>
          </cell>
          <cell r="G430">
            <v>32</v>
          </cell>
          <cell r="H430">
            <v>3.0000000000000001E-3</v>
          </cell>
        </row>
        <row r="431">
          <cell r="A431" t="str">
            <v>PH40-25</v>
          </cell>
          <cell r="B431" t="str">
            <v>pvc25bars(PEhD)</v>
          </cell>
          <cell r="C431" t="str">
            <v>31x42</v>
          </cell>
          <cell r="D431" t="str">
            <v>DN32 - 1 1/4"</v>
          </cell>
          <cell r="E431">
            <v>31</v>
          </cell>
          <cell r="F431" t="str">
            <v>4,5</v>
          </cell>
          <cell r="G431">
            <v>40</v>
          </cell>
          <cell r="H431">
            <v>3.0000000000000001E-3</v>
          </cell>
        </row>
        <row r="432">
          <cell r="A432" t="str">
            <v>PH40-16</v>
          </cell>
          <cell r="B432" t="str">
            <v>pvc16bars(PEhD)</v>
          </cell>
          <cell r="C432" t="str">
            <v>34x42</v>
          </cell>
          <cell r="D432" t="str">
            <v>DN32 - 1 1/4"</v>
          </cell>
          <cell r="E432">
            <v>34</v>
          </cell>
          <cell r="F432" t="str">
            <v>3</v>
          </cell>
          <cell r="G432">
            <v>40</v>
          </cell>
          <cell r="H432">
            <v>3.0000000000000001E-3</v>
          </cell>
        </row>
        <row r="433">
          <cell r="A433" t="str">
            <v>PH50-25</v>
          </cell>
          <cell r="B433" t="str">
            <v>pvc25bars(PEhD)</v>
          </cell>
          <cell r="C433" t="str">
            <v>38x50</v>
          </cell>
          <cell r="D433" t="str">
            <v>DN40 - 1.5"</v>
          </cell>
          <cell r="E433">
            <v>38.799999999999997</v>
          </cell>
          <cell r="F433" t="str">
            <v>5,6</v>
          </cell>
          <cell r="G433">
            <v>50</v>
          </cell>
          <cell r="H433">
            <v>3.0000000000000001E-3</v>
          </cell>
        </row>
        <row r="434">
          <cell r="A434" t="str">
            <v>PH50-16</v>
          </cell>
          <cell r="B434" t="str">
            <v>pvc16bars(PEhD)</v>
          </cell>
          <cell r="C434" t="str">
            <v>42,6x50</v>
          </cell>
          <cell r="D434" t="str">
            <v>DN40 - 1.5"</v>
          </cell>
          <cell r="E434">
            <v>42.6</v>
          </cell>
          <cell r="F434" t="str">
            <v>3,7</v>
          </cell>
          <cell r="G434">
            <v>50</v>
          </cell>
          <cell r="H434">
            <v>3.0000000000000001E-3</v>
          </cell>
        </row>
        <row r="435">
          <cell r="A435" t="str">
            <v>PH63-16</v>
          </cell>
          <cell r="B435" t="str">
            <v>pvc16bars(PEhD)</v>
          </cell>
          <cell r="C435" t="str">
            <v>53,6x63</v>
          </cell>
          <cell r="D435" t="str">
            <v>DN50 - 2"</v>
          </cell>
          <cell r="E435">
            <v>53.6</v>
          </cell>
          <cell r="F435" t="str">
            <v>4,7</v>
          </cell>
          <cell r="G435">
            <v>63</v>
          </cell>
          <cell r="H435">
            <v>3.0000000000000001E-3</v>
          </cell>
        </row>
        <row r="436">
          <cell r="A436" t="str">
            <v>PH75-16</v>
          </cell>
          <cell r="B436" t="str">
            <v>pvc16bars(PEhD)</v>
          </cell>
          <cell r="C436" t="str">
            <v>64x75</v>
          </cell>
          <cell r="D436" t="str">
            <v>DN65 - 2.5"</v>
          </cell>
          <cell r="E436">
            <v>64</v>
          </cell>
          <cell r="F436" t="str">
            <v>5,5</v>
          </cell>
          <cell r="G436">
            <v>75</v>
          </cell>
          <cell r="H436">
            <v>3.0000000000000001E-3</v>
          </cell>
        </row>
        <row r="437">
          <cell r="A437" t="str">
            <v>PH90-16</v>
          </cell>
          <cell r="B437" t="str">
            <v>pvc16bars(PEhD)</v>
          </cell>
          <cell r="C437" t="str">
            <v>76,8x90</v>
          </cell>
          <cell r="D437" t="str">
            <v>DN80 - 3"</v>
          </cell>
          <cell r="E437">
            <v>76.8</v>
          </cell>
          <cell r="F437" t="str">
            <v>6,6</v>
          </cell>
          <cell r="G437">
            <v>90</v>
          </cell>
          <cell r="H437">
            <v>3.0000000000000001E-3</v>
          </cell>
        </row>
        <row r="438">
          <cell r="A438" t="str">
            <v>PH90-10</v>
          </cell>
          <cell r="B438" t="str">
            <v>pvc10bars(PEhD)</v>
          </cell>
          <cell r="C438" t="str">
            <v>81,4x90</v>
          </cell>
          <cell r="D438" t="str">
            <v>DN80 - 3"</v>
          </cell>
          <cell r="E438">
            <v>81.400000000000006</v>
          </cell>
          <cell r="F438" t="str">
            <v>4,3</v>
          </cell>
          <cell r="G438">
            <v>90</v>
          </cell>
          <cell r="H438">
            <v>3.0000000000000001E-3</v>
          </cell>
        </row>
        <row r="439">
          <cell r="A439" t="str">
            <v>PH110-16</v>
          </cell>
          <cell r="B439" t="str">
            <v>pvc16bars(PEhD)</v>
          </cell>
          <cell r="C439" t="str">
            <v>93,8x110</v>
          </cell>
          <cell r="D439" t="str">
            <v>DN100 - 4"</v>
          </cell>
          <cell r="E439">
            <v>93.8</v>
          </cell>
          <cell r="F439" t="str">
            <v>8,1</v>
          </cell>
          <cell r="G439">
            <v>110</v>
          </cell>
          <cell r="H439">
            <v>3.0000000000000001E-3</v>
          </cell>
        </row>
        <row r="440">
          <cell r="A440" t="str">
            <v>PH110-10</v>
          </cell>
          <cell r="B440" t="str">
            <v>pvc10bars(PEhD)</v>
          </cell>
          <cell r="C440" t="str">
            <v>99,4x110</v>
          </cell>
          <cell r="D440" t="str">
            <v>DN100 - 4"</v>
          </cell>
          <cell r="E440">
            <v>99.4</v>
          </cell>
          <cell r="F440" t="str">
            <v>5,3</v>
          </cell>
          <cell r="G440">
            <v>110</v>
          </cell>
          <cell r="H440">
            <v>3.0000000000000001E-3</v>
          </cell>
        </row>
        <row r="441">
          <cell r="A441" t="str">
            <v>PH125-16</v>
          </cell>
          <cell r="B441" t="str">
            <v>pvc16bars(PEhD)</v>
          </cell>
          <cell r="C441" t="str">
            <v>106,6x125</v>
          </cell>
          <cell r="D441" t="str">
            <v>DN125 - 5"</v>
          </cell>
          <cell r="E441">
            <v>106.6</v>
          </cell>
          <cell r="F441" t="str">
            <v>9,2</v>
          </cell>
          <cell r="G441">
            <v>125</v>
          </cell>
          <cell r="H441">
            <v>3.0000000000000001E-3</v>
          </cell>
        </row>
        <row r="442">
          <cell r="A442" t="str">
            <v>PH125-10</v>
          </cell>
          <cell r="B442" t="str">
            <v>pvc10bars(PEhD)</v>
          </cell>
          <cell r="C442" t="str">
            <v>113x125</v>
          </cell>
          <cell r="D442" t="str">
            <v>DN125 - 5"</v>
          </cell>
          <cell r="E442">
            <v>113</v>
          </cell>
          <cell r="F442" t="str">
            <v>6</v>
          </cell>
          <cell r="G442">
            <v>125</v>
          </cell>
          <cell r="H442">
            <v>3.0000000000000001E-3</v>
          </cell>
        </row>
        <row r="443">
          <cell r="A443" t="str">
            <v>PH140-10</v>
          </cell>
          <cell r="B443" t="str">
            <v>pvc10bars(PEhD)</v>
          </cell>
          <cell r="C443" t="str">
            <v>127,8x140</v>
          </cell>
          <cell r="D443">
            <v>5.5</v>
          </cell>
          <cell r="E443">
            <v>127.8</v>
          </cell>
          <cell r="F443" t="str">
            <v>6,1</v>
          </cell>
          <cell r="G443">
            <v>140</v>
          </cell>
          <cell r="H443">
            <v>3.0000000000000001E-3</v>
          </cell>
        </row>
        <row r="444">
          <cell r="A444" t="str">
            <v>PH160-10</v>
          </cell>
          <cell r="B444" t="str">
            <v>pvc10bars(PEhD)</v>
          </cell>
          <cell r="C444" t="str">
            <v>147,x160</v>
          </cell>
          <cell r="D444" t="str">
            <v>DN150 - 6"</v>
          </cell>
          <cell r="E444">
            <v>147.6</v>
          </cell>
          <cell r="F444" t="str">
            <v>6,2</v>
          </cell>
          <cell r="G444">
            <v>160</v>
          </cell>
          <cell r="H444">
            <v>3.0000000000000001E-3</v>
          </cell>
        </row>
        <row r="445">
          <cell r="A445" t="str">
            <v>PH200-6</v>
          </cell>
          <cell r="B445" t="str">
            <v>pvc6bars(PEhD)</v>
          </cell>
          <cell r="C445" t="str">
            <v>190,6x200</v>
          </cell>
          <cell r="D445" t="str">
            <v>DN200 - 8"</v>
          </cell>
          <cell r="E445">
            <v>190.6</v>
          </cell>
          <cell r="F445" t="str">
            <v>4,7</v>
          </cell>
          <cell r="G445">
            <v>200</v>
          </cell>
          <cell r="H445">
            <v>3.0000000000000001E-3</v>
          </cell>
        </row>
        <row r="446">
          <cell r="A446" t="str">
            <v>PH200-10</v>
          </cell>
          <cell r="B446" t="str">
            <v>pvc10bars(PEhD)</v>
          </cell>
          <cell r="C446" t="str">
            <v>184,6x200</v>
          </cell>
          <cell r="D446" t="str">
            <v>DN200 - 8"</v>
          </cell>
          <cell r="E446">
            <v>184.6</v>
          </cell>
          <cell r="F446" t="str">
            <v>7,7</v>
          </cell>
          <cell r="G446">
            <v>200</v>
          </cell>
          <cell r="H446">
            <v>3.0000000000000001E-3</v>
          </cell>
        </row>
        <row r="447">
          <cell r="A447" t="str">
            <v>PH225-10</v>
          </cell>
          <cell r="B447" t="str">
            <v>pvc10bars(PEhD)</v>
          </cell>
          <cell r="C447" t="str">
            <v>207,8x225</v>
          </cell>
          <cell r="D447">
            <v>9</v>
          </cell>
          <cell r="E447">
            <v>207.8</v>
          </cell>
          <cell r="F447" t="str">
            <v>8,6</v>
          </cell>
          <cell r="G447">
            <v>225</v>
          </cell>
          <cell r="H447">
            <v>3.0000000000000001E-3</v>
          </cell>
        </row>
        <row r="448">
          <cell r="A448" t="str">
            <v>PH250-6</v>
          </cell>
          <cell r="B448" t="str">
            <v>pvc6bars(PEhD)</v>
          </cell>
          <cell r="C448" t="str">
            <v>238,2x250</v>
          </cell>
          <cell r="D448" t="str">
            <v>DN250 - 10"</v>
          </cell>
          <cell r="E448">
            <v>238.2</v>
          </cell>
          <cell r="F448" t="str">
            <v>5,9</v>
          </cell>
          <cell r="G448">
            <v>250</v>
          </cell>
          <cell r="H448">
            <v>3.0000000000000001E-3</v>
          </cell>
        </row>
        <row r="449">
          <cell r="A449" t="str">
            <v>PH250-10</v>
          </cell>
          <cell r="B449" t="str">
            <v>pvc10bars(PEhD)</v>
          </cell>
          <cell r="C449" t="str">
            <v>230,8x250</v>
          </cell>
          <cell r="D449" t="str">
            <v>DN250 - 10"</v>
          </cell>
          <cell r="E449">
            <v>230.8</v>
          </cell>
          <cell r="F449" t="str">
            <v>9,6</v>
          </cell>
          <cell r="G449">
            <v>250</v>
          </cell>
          <cell r="H449">
            <v>3.0000000000000001E-3</v>
          </cell>
        </row>
        <row r="450">
          <cell r="A450" t="str">
            <v>PH315-6</v>
          </cell>
          <cell r="B450" t="str">
            <v>pvc6bars(PEhD)</v>
          </cell>
          <cell r="C450" t="str">
            <v>300,2x315</v>
          </cell>
          <cell r="D450" t="str">
            <v>DN300 - 12"</v>
          </cell>
          <cell r="E450">
            <v>300.2</v>
          </cell>
          <cell r="F450" t="str">
            <v>7,4</v>
          </cell>
          <cell r="G450">
            <v>315</v>
          </cell>
          <cell r="H450">
            <v>3.0000000000000001E-3</v>
          </cell>
        </row>
        <row r="451">
          <cell r="A451" t="str">
            <v>PH315-10</v>
          </cell>
          <cell r="B451" t="str">
            <v>pvc10bars(PEhD)</v>
          </cell>
          <cell r="C451" t="str">
            <v>290,8x315</v>
          </cell>
          <cell r="D451" t="str">
            <v>DN300 - 12"</v>
          </cell>
          <cell r="E451">
            <v>290.8</v>
          </cell>
          <cell r="F451" t="str">
            <v>12,1</v>
          </cell>
          <cell r="G451">
            <v>315</v>
          </cell>
          <cell r="H451">
            <v>3.0000000000000001E-3</v>
          </cell>
        </row>
        <row r="453">
          <cell r="A453" t="str">
            <v>==============</v>
          </cell>
          <cell r="B453" t="str">
            <v>==============</v>
          </cell>
          <cell r="C453" t="str">
            <v>==============</v>
          </cell>
        </row>
        <row r="454">
          <cell r="A454" t="str">
            <v>Tubes PVC</v>
          </cell>
          <cell r="B454" t="str">
            <v>Usage gaz</v>
          </cell>
          <cell r="C454" t="str">
            <v>Polyéthylène</v>
          </cell>
        </row>
        <row r="455">
          <cell r="A455" t="str">
            <v>==============</v>
          </cell>
          <cell r="B455" t="str">
            <v>==============</v>
          </cell>
          <cell r="C455" t="str">
            <v>==============</v>
          </cell>
        </row>
        <row r="456">
          <cell r="A456" t="str">
            <v>G15</v>
          </cell>
          <cell r="B456" t="str">
            <v>pvc25bars(gaz)</v>
          </cell>
          <cell r="C456" t="str">
            <v>14x20</v>
          </cell>
          <cell r="D456" t="str">
            <v>DN15 - 1/2"</v>
          </cell>
          <cell r="E456">
            <v>14</v>
          </cell>
          <cell r="F456" t="str">
            <v>3</v>
          </cell>
          <cell r="G456">
            <v>20</v>
          </cell>
          <cell r="H456">
            <v>3.0000000000000001E-3</v>
          </cell>
        </row>
        <row r="457">
          <cell r="A457" t="str">
            <v>G25</v>
          </cell>
          <cell r="B457" t="str">
            <v>pvc25bars(gaz)</v>
          </cell>
          <cell r="C457" t="str">
            <v>26x32</v>
          </cell>
          <cell r="D457" t="str">
            <v>DN20 - 3/4"</v>
          </cell>
          <cell r="E457">
            <v>26</v>
          </cell>
          <cell r="F457" t="str">
            <v>3</v>
          </cell>
          <cell r="G457">
            <v>32</v>
          </cell>
          <cell r="H457">
            <v>3.0000000000000001E-3</v>
          </cell>
        </row>
        <row r="458">
          <cell r="A458" t="str">
            <v>G32</v>
          </cell>
          <cell r="B458" t="str">
            <v>pvc25bars(gaz)</v>
          </cell>
          <cell r="C458" t="str">
            <v>32,6x40</v>
          </cell>
          <cell r="D458" t="str">
            <v>DN32 - 1 1/4"</v>
          </cell>
          <cell r="E458">
            <v>32.6</v>
          </cell>
          <cell r="F458" t="str">
            <v>3,7</v>
          </cell>
          <cell r="G458">
            <v>40</v>
          </cell>
          <cell r="H458">
            <v>3.0000000000000001E-3</v>
          </cell>
        </row>
        <row r="459">
          <cell r="A459" t="str">
            <v>G50</v>
          </cell>
          <cell r="B459" t="str">
            <v>pvc25bars(gaz)</v>
          </cell>
          <cell r="C459" t="str">
            <v>51,4x63</v>
          </cell>
          <cell r="D459" t="str">
            <v>DN50 - 2"</v>
          </cell>
          <cell r="E459">
            <v>51.4</v>
          </cell>
          <cell r="F459" t="str">
            <v>5,8</v>
          </cell>
          <cell r="G459">
            <v>63</v>
          </cell>
          <cell r="H459">
            <v>3.0000000000000001E-3</v>
          </cell>
        </row>
        <row r="460">
          <cell r="A460" t="str">
            <v>G80</v>
          </cell>
          <cell r="B460" t="str">
            <v>pvc25bars(gaz)</v>
          </cell>
          <cell r="C460" t="str">
            <v>73,6x90</v>
          </cell>
          <cell r="D460" t="str">
            <v>DN80 - 3"</v>
          </cell>
          <cell r="E460">
            <v>73.599999999999994</v>
          </cell>
          <cell r="F460" t="str">
            <v>8,2</v>
          </cell>
          <cell r="G460">
            <v>90</v>
          </cell>
          <cell r="H460">
            <v>3.0000000000000001E-3</v>
          </cell>
        </row>
        <row r="461">
          <cell r="A461" t="str">
            <v>G100</v>
          </cell>
          <cell r="B461" t="str">
            <v>pvc25bars(gaz)</v>
          </cell>
          <cell r="C461" t="str">
            <v>90x110</v>
          </cell>
          <cell r="D461" t="str">
            <v>DN100 - 4"</v>
          </cell>
          <cell r="E461">
            <v>90</v>
          </cell>
          <cell r="F461" t="str">
            <v>10</v>
          </cell>
          <cell r="G461">
            <v>110</v>
          </cell>
          <cell r="H461">
            <v>3.0000000000000001E-3</v>
          </cell>
        </row>
        <row r="462">
          <cell r="A462" t="str">
            <v>G125</v>
          </cell>
          <cell r="B462" t="str">
            <v>pvc25bars(gaz)</v>
          </cell>
          <cell r="C462" t="str">
            <v>102,2x125</v>
          </cell>
          <cell r="D462" t="str">
            <v>DN125 - 5"</v>
          </cell>
          <cell r="E462">
            <v>102.2</v>
          </cell>
          <cell r="F462" t="str">
            <v>11,4</v>
          </cell>
          <cell r="G462">
            <v>125</v>
          </cell>
          <cell r="H462">
            <v>3.0000000000000001E-3</v>
          </cell>
        </row>
        <row r="463">
          <cell r="A463" t="str">
            <v>G150</v>
          </cell>
          <cell r="B463" t="str">
            <v>pvc25bars(gaz)</v>
          </cell>
          <cell r="C463" t="str">
            <v>130,8x160</v>
          </cell>
          <cell r="D463" t="str">
            <v>DN150 - 6"</v>
          </cell>
          <cell r="E463">
            <v>130.80000000000001</v>
          </cell>
          <cell r="F463" t="str">
            <v>14,5</v>
          </cell>
          <cell r="G463">
            <v>160</v>
          </cell>
          <cell r="H463">
            <v>3.0000000000000001E-3</v>
          </cell>
        </row>
        <row r="464">
          <cell r="A464" t="str">
            <v>G200</v>
          </cell>
          <cell r="B464" t="str">
            <v>pvc25bars(gaz)</v>
          </cell>
          <cell r="C464" t="str">
            <v>177,2x200</v>
          </cell>
          <cell r="D464" t="str">
            <v>DN200 - 8"</v>
          </cell>
          <cell r="E464">
            <v>177.2</v>
          </cell>
          <cell r="F464" t="str">
            <v>11,4</v>
          </cell>
          <cell r="G464">
            <v>200</v>
          </cell>
          <cell r="H464">
            <v>3.0000000000000001E-3</v>
          </cell>
        </row>
        <row r="466">
          <cell r="A466" t="str">
            <v>==============</v>
          </cell>
          <cell r="B466" t="str">
            <v>==============</v>
          </cell>
          <cell r="C466" t="str">
            <v>==============</v>
          </cell>
        </row>
        <row r="467">
          <cell r="A467" t="str">
            <v>Tubes Inox</v>
          </cell>
          <cell r="B467" t="str">
            <v>316L</v>
          </cell>
        </row>
        <row r="468">
          <cell r="A468" t="str">
            <v>==============</v>
          </cell>
          <cell r="B468" t="str">
            <v>==============</v>
          </cell>
          <cell r="C468" t="str">
            <v>==============</v>
          </cell>
        </row>
        <row r="469">
          <cell r="A469" t="str">
            <v>IN12-1,6</v>
          </cell>
          <cell r="B469" t="str">
            <v>inox 316L</v>
          </cell>
          <cell r="C469" t="str">
            <v>17,2 / 1,6</v>
          </cell>
          <cell r="D469" t="str">
            <v>DN12 - 3/8"</v>
          </cell>
          <cell r="E469">
            <v>14</v>
          </cell>
          <cell r="G469">
            <v>17.2</v>
          </cell>
          <cell r="H469" t="str">
            <v>0,002</v>
          </cell>
        </row>
        <row r="470">
          <cell r="A470" t="str">
            <v>IN12-2</v>
          </cell>
          <cell r="B470" t="str">
            <v>inox 316L</v>
          </cell>
          <cell r="C470" t="str">
            <v>17,2 / 2</v>
          </cell>
          <cell r="D470" t="str">
            <v>DN12 - 3/8"</v>
          </cell>
          <cell r="E470">
            <v>13.2</v>
          </cell>
          <cell r="G470">
            <v>17.2</v>
          </cell>
          <cell r="H470" t="str">
            <v>0,002</v>
          </cell>
        </row>
        <row r="471">
          <cell r="A471" t="str">
            <v>IN15-1,6</v>
          </cell>
          <cell r="B471" t="str">
            <v>inox 316L</v>
          </cell>
          <cell r="C471" t="str">
            <v>21,3 / 1,6</v>
          </cell>
          <cell r="D471" t="str">
            <v>DN15 - 1/2"</v>
          </cell>
          <cell r="E471">
            <v>18.100000000000001</v>
          </cell>
          <cell r="G471">
            <v>21.3</v>
          </cell>
          <cell r="H471" t="str">
            <v>0,002</v>
          </cell>
        </row>
        <row r="472">
          <cell r="A472" t="str">
            <v>IN15-2</v>
          </cell>
          <cell r="B472" t="str">
            <v>inox 316L</v>
          </cell>
          <cell r="C472" t="str">
            <v>21,3,2 / 2</v>
          </cell>
          <cell r="D472" t="str">
            <v>DN15 - 1/2"</v>
          </cell>
          <cell r="E472">
            <v>17.3</v>
          </cell>
          <cell r="G472">
            <v>21.3</v>
          </cell>
          <cell r="H472" t="str">
            <v>0,002</v>
          </cell>
        </row>
        <row r="473">
          <cell r="A473" t="str">
            <v>IN20-1,6</v>
          </cell>
          <cell r="B473" t="str">
            <v>inox 316L</v>
          </cell>
          <cell r="C473" t="str">
            <v>26,9 / 1,6</v>
          </cell>
          <cell r="D473" t="str">
            <v>DN20 - 3/4"</v>
          </cell>
          <cell r="E473">
            <v>23.7</v>
          </cell>
          <cell r="G473">
            <v>26.9</v>
          </cell>
          <cell r="H473" t="str">
            <v>0,002</v>
          </cell>
        </row>
        <row r="474">
          <cell r="A474" t="str">
            <v>IN20-2</v>
          </cell>
          <cell r="B474" t="str">
            <v>inox 316L</v>
          </cell>
          <cell r="C474" t="str">
            <v>26,9 / 2</v>
          </cell>
          <cell r="D474" t="str">
            <v>DN20 - 3/4"</v>
          </cell>
          <cell r="E474">
            <v>22.9</v>
          </cell>
          <cell r="G474">
            <v>26.9</v>
          </cell>
          <cell r="H474" t="str">
            <v>0,002</v>
          </cell>
        </row>
        <row r="475">
          <cell r="A475" t="str">
            <v>IN25-1,6</v>
          </cell>
          <cell r="B475" t="str">
            <v>inox 316L</v>
          </cell>
          <cell r="C475" t="str">
            <v>33,7 / 1,6</v>
          </cell>
          <cell r="D475" t="str">
            <v>DN25 - 1"</v>
          </cell>
          <cell r="E475">
            <v>30.5</v>
          </cell>
          <cell r="G475">
            <v>33.700000000000003</v>
          </cell>
          <cell r="H475" t="str">
            <v>0,002</v>
          </cell>
        </row>
        <row r="476">
          <cell r="A476" t="str">
            <v>IN25-2</v>
          </cell>
          <cell r="B476" t="str">
            <v>inox 316L</v>
          </cell>
          <cell r="C476" t="str">
            <v>33,7 / 2</v>
          </cell>
          <cell r="D476" t="str">
            <v>DN25 - 1"</v>
          </cell>
          <cell r="E476">
            <v>29.7</v>
          </cell>
          <cell r="G476">
            <v>33.700000000000003</v>
          </cell>
          <cell r="H476" t="str">
            <v>0,002</v>
          </cell>
        </row>
        <row r="477">
          <cell r="A477" t="str">
            <v>IN25-3,2</v>
          </cell>
          <cell r="B477" t="str">
            <v>inox 316L</v>
          </cell>
          <cell r="C477" t="str">
            <v>33,7 / 3,2</v>
          </cell>
          <cell r="D477" t="str">
            <v>DN25 - 1"</v>
          </cell>
          <cell r="E477">
            <v>27.3</v>
          </cell>
          <cell r="G477">
            <v>33.700000000000003</v>
          </cell>
          <cell r="H477" t="str">
            <v>0,002</v>
          </cell>
        </row>
        <row r="478">
          <cell r="A478" t="str">
            <v>IN32-1,6</v>
          </cell>
          <cell r="B478" t="str">
            <v>inox 316L</v>
          </cell>
          <cell r="C478" t="str">
            <v>42,4 / 1,6</v>
          </cell>
          <cell r="D478" t="str">
            <v>DN32 - 1 1/4"</v>
          </cell>
          <cell r="E478">
            <v>39.200000000000003</v>
          </cell>
          <cell r="G478">
            <v>42.4</v>
          </cell>
          <cell r="H478" t="str">
            <v>0,002</v>
          </cell>
        </row>
        <row r="479">
          <cell r="A479" t="str">
            <v>IN32-2</v>
          </cell>
          <cell r="B479" t="str">
            <v>inox 316L</v>
          </cell>
          <cell r="C479" t="str">
            <v>42,4 / 2</v>
          </cell>
          <cell r="D479" t="str">
            <v>DN32 - 1 1/4"</v>
          </cell>
          <cell r="E479">
            <v>38.4</v>
          </cell>
          <cell r="G479">
            <v>42.4</v>
          </cell>
          <cell r="H479" t="str">
            <v>0,002</v>
          </cell>
        </row>
        <row r="480">
          <cell r="A480" t="str">
            <v>IN40-1,6</v>
          </cell>
          <cell r="B480" t="str">
            <v>inox 316L</v>
          </cell>
          <cell r="C480" t="str">
            <v>48,3 / 1,6</v>
          </cell>
          <cell r="D480" t="str">
            <v>DN40 - 1.5"</v>
          </cell>
          <cell r="E480">
            <v>45.1</v>
          </cell>
          <cell r="G480">
            <v>48.3</v>
          </cell>
          <cell r="H480" t="str">
            <v>0,002</v>
          </cell>
        </row>
        <row r="481">
          <cell r="A481" t="str">
            <v>IN40-2</v>
          </cell>
          <cell r="B481" t="str">
            <v>inox 316L</v>
          </cell>
          <cell r="C481" t="str">
            <v>48,3 / 2</v>
          </cell>
          <cell r="D481" t="str">
            <v>DN40 - 1.5"</v>
          </cell>
          <cell r="E481">
            <v>44.3</v>
          </cell>
          <cell r="G481">
            <v>48.3</v>
          </cell>
          <cell r="H481" t="str">
            <v>0,002</v>
          </cell>
        </row>
        <row r="482">
          <cell r="A482" t="str">
            <v>IN50-1,6</v>
          </cell>
          <cell r="B482" t="str">
            <v>inox 316L</v>
          </cell>
          <cell r="C482" t="str">
            <v>60,3 / 1,6</v>
          </cell>
          <cell r="D482" t="str">
            <v>DN50 - 2"</v>
          </cell>
          <cell r="E482">
            <v>57.1</v>
          </cell>
          <cell r="G482">
            <v>60.3</v>
          </cell>
          <cell r="H482" t="str">
            <v>0,002</v>
          </cell>
        </row>
        <row r="483">
          <cell r="A483" t="str">
            <v>IN50-2</v>
          </cell>
          <cell r="B483" t="str">
            <v>inox 316L</v>
          </cell>
          <cell r="C483" t="str">
            <v>60,3 / 2</v>
          </cell>
          <cell r="D483" t="str">
            <v>DN50 - 2"</v>
          </cell>
          <cell r="E483">
            <v>56.3</v>
          </cell>
          <cell r="G483">
            <v>60.3</v>
          </cell>
          <cell r="H483" t="str">
            <v>0,002</v>
          </cell>
        </row>
        <row r="484">
          <cell r="A484" t="str">
            <v>IN65-1,6</v>
          </cell>
          <cell r="B484" t="str">
            <v>inox 316L</v>
          </cell>
          <cell r="C484" t="str">
            <v>76,1 / 1,6</v>
          </cell>
          <cell r="D484" t="str">
            <v>DN65 - 2.5"</v>
          </cell>
          <cell r="E484">
            <v>72.900000000000006</v>
          </cell>
          <cell r="G484">
            <v>76.099999999999994</v>
          </cell>
          <cell r="H484" t="str">
            <v>0,002</v>
          </cell>
        </row>
        <row r="485">
          <cell r="A485" t="str">
            <v>IN65-2</v>
          </cell>
          <cell r="B485" t="str">
            <v>inox 316L</v>
          </cell>
          <cell r="C485" t="str">
            <v>76,1 / 2</v>
          </cell>
          <cell r="D485" t="str">
            <v>DN65 - 2.5"</v>
          </cell>
          <cell r="E485">
            <v>72.099999999999994</v>
          </cell>
          <cell r="G485">
            <v>76.099999999999994</v>
          </cell>
          <cell r="H485" t="str">
            <v>0,002</v>
          </cell>
        </row>
        <row r="486">
          <cell r="A486" t="str">
            <v>IN80-2</v>
          </cell>
          <cell r="B486" t="str">
            <v>inox 316L</v>
          </cell>
          <cell r="C486" t="str">
            <v>88,9 / 2</v>
          </cell>
          <cell r="D486" t="str">
            <v>DN80 - 3"</v>
          </cell>
          <cell r="E486">
            <v>84.9</v>
          </cell>
          <cell r="G486">
            <v>88.9</v>
          </cell>
          <cell r="H486" t="str">
            <v>0,002</v>
          </cell>
        </row>
        <row r="487">
          <cell r="A487" t="str">
            <v>IN100-2</v>
          </cell>
          <cell r="B487" t="str">
            <v>inox 316L</v>
          </cell>
          <cell r="C487" t="str">
            <v>114,3 / 2</v>
          </cell>
          <cell r="D487" t="str">
            <v>DN100 - 4"</v>
          </cell>
          <cell r="E487">
            <v>110.3</v>
          </cell>
          <cell r="G487">
            <v>114.3</v>
          </cell>
          <cell r="H487" t="str">
            <v>0,002</v>
          </cell>
        </row>
        <row r="488">
          <cell r="A488" t="str">
            <v>IN125-2</v>
          </cell>
          <cell r="B488" t="str">
            <v>inox 316L</v>
          </cell>
          <cell r="C488" t="str">
            <v>139,7 / 2</v>
          </cell>
          <cell r="D488" t="str">
            <v>DN125 - 5"</v>
          </cell>
          <cell r="E488">
            <v>135.69999999999999</v>
          </cell>
          <cell r="G488">
            <v>139.69999999999999</v>
          </cell>
          <cell r="H488" t="str">
            <v>0,002</v>
          </cell>
        </row>
        <row r="489">
          <cell r="A489" t="str">
            <v>IN150-2</v>
          </cell>
          <cell r="B489" t="str">
            <v>inox 316L</v>
          </cell>
          <cell r="C489" t="str">
            <v>168,3 / 2</v>
          </cell>
          <cell r="D489" t="str">
            <v>DN150 - 6"</v>
          </cell>
          <cell r="E489">
            <v>164.3</v>
          </cell>
          <cell r="G489">
            <v>168.3</v>
          </cell>
          <cell r="H489" t="str">
            <v>0,002</v>
          </cell>
        </row>
        <row r="490">
          <cell r="A490" t="str">
            <v>IN200-2</v>
          </cell>
          <cell r="B490" t="str">
            <v>inox 316L</v>
          </cell>
          <cell r="C490" t="str">
            <v>219,1 / 2</v>
          </cell>
          <cell r="D490" t="str">
            <v>DN200 - 8"</v>
          </cell>
          <cell r="E490">
            <v>215.1</v>
          </cell>
          <cell r="G490">
            <v>219.1</v>
          </cell>
          <cell r="H490" t="str">
            <v>0,002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E9300-F164-45D9-A821-8E3B1B211FC6}">
  <sheetPr>
    <pageSetUpPr fitToPage="1"/>
  </sheetPr>
  <dimension ref="A1:CK50"/>
  <sheetViews>
    <sheetView zoomScale="115" zoomScaleNormal="115" workbookViewId="0">
      <selection activeCell="S54" sqref="S54"/>
    </sheetView>
  </sheetViews>
  <sheetFormatPr baseColWidth="10" defaultRowHeight="12.75" x14ac:dyDescent="0.2"/>
  <cols>
    <col min="1" max="1" width="15.5703125" style="7" bestFit="1" customWidth="1"/>
    <col min="2" max="2" width="10.5703125" style="41" bestFit="1" customWidth="1"/>
    <col min="3" max="3" width="7.7109375" style="7" customWidth="1"/>
    <col min="4" max="4" width="7.85546875" style="7" customWidth="1"/>
    <col min="5" max="5" width="9.7109375" style="7" customWidth="1"/>
    <col min="6" max="6" width="12.85546875" style="7" hidden="1" customWidth="1"/>
    <col min="7" max="9" width="17.28515625" style="7" hidden="1" customWidth="1"/>
    <col min="10" max="10" width="9.28515625" style="5" customWidth="1"/>
    <col min="11" max="11" width="12.85546875" style="7" customWidth="1"/>
    <col min="12" max="12" width="9.28515625" style="5" customWidth="1"/>
    <col min="13" max="13" width="9.140625" style="5" customWidth="1"/>
    <col min="14" max="14" width="10.5703125" style="5" customWidth="1"/>
    <col min="15" max="15" width="10.42578125" style="5" customWidth="1"/>
    <col min="16" max="17" width="8.42578125" style="5" bestFit="1" customWidth="1"/>
    <col min="18" max="18" width="6" style="5" bestFit="1" customWidth="1"/>
    <col min="19" max="19" width="8.5703125" style="5" customWidth="1"/>
    <col min="20" max="20" width="10.140625" style="5" customWidth="1"/>
    <col min="21" max="23" width="9" style="5" bestFit="1" customWidth="1"/>
    <col min="24" max="24" width="30.28515625" style="5" bestFit="1" customWidth="1"/>
    <col min="25" max="25" width="9" style="7" customWidth="1"/>
    <col min="26" max="26" width="10.140625" style="7" bestFit="1" customWidth="1"/>
    <col min="27" max="27" width="9.42578125" style="42" bestFit="1" customWidth="1"/>
    <col min="28" max="28" width="5.28515625" style="7" customWidth="1"/>
    <col min="29" max="29" width="6.140625" style="7" hidden="1" customWidth="1"/>
    <col min="30" max="30" width="5.5703125" style="7" hidden="1" customWidth="1"/>
    <col min="31" max="32" width="8" style="7" hidden="1" customWidth="1"/>
    <col min="33" max="33" width="12.42578125" style="7" bestFit="1" customWidth="1"/>
    <col min="34" max="16384" width="11.42578125" style="7"/>
  </cols>
  <sheetData>
    <row r="1" spans="1:89" ht="18" customHeight="1" x14ac:dyDescent="0.2">
      <c r="A1" s="43" t="s">
        <v>83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72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</row>
    <row r="2" spans="1:89" ht="18" customHeight="1" thickBot="1" x14ac:dyDescent="0.25">
      <c r="A2" s="140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2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</row>
    <row r="3" spans="1:89" ht="24" thickBot="1" x14ac:dyDescent="0.25">
      <c r="A3" s="131" t="s">
        <v>32</v>
      </c>
      <c r="B3" s="132">
        <v>1.5099999999999999E-5</v>
      </c>
      <c r="C3" s="133" t="s">
        <v>31</v>
      </c>
      <c r="D3" s="44"/>
      <c r="E3" s="44"/>
      <c r="F3" s="44"/>
      <c r="G3" s="44"/>
      <c r="H3" s="44"/>
      <c r="I3" s="44"/>
      <c r="J3" s="134"/>
      <c r="K3" s="135" t="s">
        <v>33</v>
      </c>
      <c r="L3" s="136">
        <f>0.15/1000</f>
        <v>1.4999999999999999E-4</v>
      </c>
      <c r="M3" s="137" t="s">
        <v>17</v>
      </c>
      <c r="N3" s="138" t="s">
        <v>34</v>
      </c>
      <c r="O3" s="136">
        <v>1.204</v>
      </c>
      <c r="P3" s="139" t="s">
        <v>35</v>
      </c>
      <c r="Q3" s="52"/>
      <c r="R3" s="53"/>
      <c r="S3" s="53"/>
      <c r="T3" s="53"/>
      <c r="U3" s="53"/>
      <c r="V3" s="53"/>
      <c r="W3" s="53"/>
      <c r="X3" s="53"/>
      <c r="Y3" s="108"/>
      <c r="Z3" s="108"/>
      <c r="AA3" s="10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</row>
    <row r="4" spans="1:89" ht="16.5" thickBot="1" x14ac:dyDescent="0.25">
      <c r="A4" s="126"/>
      <c r="B4" s="127"/>
      <c r="C4" s="128"/>
      <c r="D4" s="128"/>
      <c r="E4" s="128"/>
      <c r="F4" s="129"/>
      <c r="G4" s="128"/>
      <c r="H4" s="128"/>
      <c r="I4" s="128"/>
      <c r="J4" s="152" t="s">
        <v>88</v>
      </c>
      <c r="K4" s="153"/>
      <c r="L4" s="153"/>
      <c r="M4" s="153"/>
      <c r="N4" s="154"/>
      <c r="O4" s="153" t="s">
        <v>87</v>
      </c>
      <c r="P4" s="153"/>
      <c r="Q4" s="153"/>
      <c r="R4" s="153"/>
      <c r="S4" s="153"/>
      <c r="T4" s="153"/>
      <c r="U4" s="153"/>
      <c r="V4" s="153"/>
      <c r="W4" s="153"/>
      <c r="X4" s="155"/>
      <c r="Y4" s="130"/>
      <c r="Z4" s="109"/>
      <c r="AA4" s="110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</row>
    <row r="5" spans="1:89" s="2" customFormat="1" x14ac:dyDescent="0.2">
      <c r="A5" s="71" t="s">
        <v>1</v>
      </c>
      <c r="B5" s="19" t="s">
        <v>1</v>
      </c>
      <c r="C5" s="156"/>
      <c r="D5" s="157"/>
      <c r="E5" s="158"/>
      <c r="F5" s="10"/>
      <c r="G5" s="10"/>
      <c r="H5" s="10"/>
      <c r="I5" s="10"/>
      <c r="J5" s="10" t="s">
        <v>2</v>
      </c>
      <c r="K5" s="10"/>
      <c r="L5" s="10" t="s">
        <v>1</v>
      </c>
      <c r="M5" s="15" t="s">
        <v>1</v>
      </c>
      <c r="N5" s="8" t="s">
        <v>3</v>
      </c>
      <c r="O5" s="10" t="s">
        <v>38</v>
      </c>
      <c r="P5" s="10" t="s">
        <v>38</v>
      </c>
      <c r="Q5" s="10" t="s">
        <v>38</v>
      </c>
      <c r="R5" s="10" t="s">
        <v>38</v>
      </c>
      <c r="S5" s="10" t="s">
        <v>42</v>
      </c>
      <c r="T5" s="10" t="s">
        <v>43</v>
      </c>
      <c r="U5" s="10" t="s">
        <v>45</v>
      </c>
      <c r="V5" s="10" t="s">
        <v>45</v>
      </c>
      <c r="W5" s="10"/>
      <c r="X5" s="10" t="s">
        <v>2</v>
      </c>
      <c r="Y5" s="15" t="s">
        <v>2</v>
      </c>
      <c r="Z5" s="46" t="s">
        <v>2</v>
      </c>
      <c r="AA5" s="73" t="s">
        <v>0</v>
      </c>
    </row>
    <row r="6" spans="1:89" s="2" customFormat="1" ht="18" x14ac:dyDescent="0.2">
      <c r="A6" s="71" t="s">
        <v>5</v>
      </c>
      <c r="B6" s="16" t="s">
        <v>6</v>
      </c>
      <c r="C6" s="159" t="s">
        <v>20</v>
      </c>
      <c r="D6" s="160"/>
      <c r="E6" s="161"/>
      <c r="F6" s="10" t="s">
        <v>29</v>
      </c>
      <c r="G6" s="10" t="s">
        <v>36</v>
      </c>
      <c r="H6" s="10" t="s">
        <v>36</v>
      </c>
      <c r="I6" s="10" t="s">
        <v>30</v>
      </c>
      <c r="J6" s="10" t="s">
        <v>7</v>
      </c>
      <c r="K6" s="10" t="s">
        <v>8</v>
      </c>
      <c r="L6" s="10" t="s">
        <v>9</v>
      </c>
      <c r="M6" s="15" t="s">
        <v>10</v>
      </c>
      <c r="N6" s="8" t="s">
        <v>11</v>
      </c>
      <c r="O6" s="10" t="s">
        <v>50</v>
      </c>
      <c r="P6" s="10" t="s">
        <v>50</v>
      </c>
      <c r="Q6" s="10" t="s">
        <v>39</v>
      </c>
      <c r="R6" s="10" t="s">
        <v>39</v>
      </c>
      <c r="S6" s="10"/>
      <c r="T6" s="10" t="s">
        <v>44</v>
      </c>
      <c r="U6" s="10" t="s">
        <v>47</v>
      </c>
      <c r="V6" s="10" t="s">
        <v>48</v>
      </c>
      <c r="W6" s="10" t="s">
        <v>56</v>
      </c>
      <c r="X6" s="10" t="s">
        <v>12</v>
      </c>
      <c r="Y6" s="13" t="s">
        <v>53</v>
      </c>
      <c r="Z6" s="12" t="s">
        <v>52</v>
      </c>
      <c r="AA6" s="74" t="s">
        <v>4</v>
      </c>
    </row>
    <row r="7" spans="1:89" s="2" customFormat="1" x14ac:dyDescent="0.2">
      <c r="A7" s="71" t="s">
        <v>1</v>
      </c>
      <c r="B7" s="16"/>
      <c r="C7" s="22" t="s">
        <v>15</v>
      </c>
      <c r="D7" s="20" t="s">
        <v>16</v>
      </c>
      <c r="E7" s="23" t="s">
        <v>37</v>
      </c>
      <c r="F7" s="10"/>
      <c r="G7" s="10"/>
      <c r="H7" s="10"/>
      <c r="I7" s="10"/>
      <c r="J7" s="10"/>
      <c r="K7" s="10"/>
      <c r="L7" s="10"/>
      <c r="M7" s="15"/>
      <c r="N7" s="8" t="s">
        <v>21</v>
      </c>
      <c r="O7" s="11" t="s">
        <v>41</v>
      </c>
      <c r="P7" s="11" t="s">
        <v>40</v>
      </c>
      <c r="Q7" s="11" t="s">
        <v>41</v>
      </c>
      <c r="R7" s="11" t="s">
        <v>40</v>
      </c>
      <c r="S7" s="11"/>
      <c r="T7" s="11"/>
      <c r="U7" s="11"/>
      <c r="V7" s="10"/>
      <c r="W7" s="10"/>
      <c r="X7" s="10" t="s">
        <v>2</v>
      </c>
      <c r="Y7" s="15" t="s">
        <v>2</v>
      </c>
      <c r="Z7" s="21"/>
      <c r="AA7" s="74" t="s">
        <v>13</v>
      </c>
    </row>
    <row r="8" spans="1:89" s="2" customFormat="1" ht="18" x14ac:dyDescent="0.2">
      <c r="A8" s="71" t="s">
        <v>1</v>
      </c>
      <c r="B8" s="19" t="s">
        <v>1</v>
      </c>
      <c r="C8" s="17"/>
      <c r="D8" s="10"/>
      <c r="E8" s="14"/>
      <c r="F8" s="10"/>
      <c r="G8" s="10"/>
      <c r="H8" s="10"/>
      <c r="I8" s="10"/>
      <c r="J8" s="10" t="s">
        <v>2</v>
      </c>
      <c r="K8" s="10"/>
      <c r="L8" s="10"/>
      <c r="M8" s="15" t="s">
        <v>1</v>
      </c>
      <c r="N8" s="12" t="s">
        <v>51</v>
      </c>
      <c r="O8" s="12" t="s">
        <v>46</v>
      </c>
      <c r="P8" s="12" t="s">
        <v>46</v>
      </c>
      <c r="Q8" s="12" t="s">
        <v>46</v>
      </c>
      <c r="R8" s="12" t="s">
        <v>46</v>
      </c>
      <c r="S8" s="12" t="s">
        <v>46</v>
      </c>
      <c r="T8" s="12" t="s">
        <v>46</v>
      </c>
      <c r="U8" s="12" t="s">
        <v>46</v>
      </c>
      <c r="V8" s="12" t="s">
        <v>46</v>
      </c>
      <c r="W8" s="12"/>
      <c r="X8" s="10" t="s">
        <v>2</v>
      </c>
      <c r="Y8" s="15" t="s">
        <v>2</v>
      </c>
      <c r="Z8" s="21"/>
      <c r="AA8" s="74"/>
    </row>
    <row r="9" spans="1:89" s="2" customFormat="1" ht="18" x14ac:dyDescent="0.2">
      <c r="A9" s="71"/>
      <c r="B9" s="19"/>
      <c r="C9" s="17"/>
      <c r="D9" s="10"/>
      <c r="E9" s="14"/>
      <c r="F9" s="10"/>
      <c r="G9" s="10"/>
      <c r="H9" s="10"/>
      <c r="I9" s="10"/>
      <c r="J9" s="10"/>
      <c r="K9" s="10"/>
      <c r="L9" s="10"/>
      <c r="M9" s="15"/>
      <c r="N9" s="8"/>
      <c r="O9" s="12">
        <v>0.8</v>
      </c>
      <c r="P9" s="12">
        <v>0.5</v>
      </c>
      <c r="Q9" s="12">
        <v>0.5</v>
      </c>
      <c r="R9" s="12">
        <v>0.25</v>
      </c>
      <c r="S9" s="12">
        <v>0.25</v>
      </c>
      <c r="T9" s="12">
        <v>1.5</v>
      </c>
      <c r="U9" s="12">
        <v>0.2</v>
      </c>
      <c r="V9" s="12">
        <v>1.7</v>
      </c>
      <c r="W9" s="12"/>
      <c r="X9" s="10"/>
      <c r="Y9" s="15"/>
      <c r="Z9" s="21"/>
      <c r="AA9" s="74"/>
    </row>
    <row r="10" spans="1:89" s="2" customFormat="1" x14ac:dyDescent="0.2">
      <c r="A10" s="75"/>
      <c r="B10" s="47" t="s">
        <v>14</v>
      </c>
      <c r="C10" s="70" t="s">
        <v>19</v>
      </c>
      <c r="D10" s="25" t="s">
        <v>19</v>
      </c>
      <c r="E10" s="28" t="s">
        <v>19</v>
      </c>
      <c r="F10" s="25"/>
      <c r="G10" s="25"/>
      <c r="H10" s="25"/>
      <c r="I10" s="25"/>
      <c r="J10" s="25" t="s">
        <v>17</v>
      </c>
      <c r="K10" s="25" t="s">
        <v>22</v>
      </c>
      <c r="L10" s="25" t="s">
        <v>21</v>
      </c>
      <c r="M10" s="48" t="s">
        <v>18</v>
      </c>
      <c r="N10" s="49"/>
      <c r="O10" s="25" t="s">
        <v>54</v>
      </c>
      <c r="P10" s="25" t="s">
        <v>54</v>
      </c>
      <c r="Q10" s="25" t="s">
        <v>54</v>
      </c>
      <c r="R10" s="25" t="s">
        <v>54</v>
      </c>
      <c r="S10" s="25" t="s">
        <v>54</v>
      </c>
      <c r="T10" s="25" t="s">
        <v>54</v>
      </c>
      <c r="U10" s="25" t="s">
        <v>54</v>
      </c>
      <c r="V10" s="25" t="s">
        <v>54</v>
      </c>
      <c r="W10" s="25"/>
      <c r="X10" s="45"/>
      <c r="Y10" s="50"/>
      <c r="Z10" s="51" t="s">
        <v>21</v>
      </c>
      <c r="AA10" s="76" t="s">
        <v>21</v>
      </c>
    </row>
    <row r="11" spans="1:89" s="9" customFormat="1" x14ac:dyDescent="0.2">
      <c r="A11" s="143" t="s">
        <v>92</v>
      </c>
      <c r="B11" s="87"/>
      <c r="C11" s="88"/>
      <c r="D11" s="89"/>
      <c r="E11" s="90"/>
      <c r="F11" s="89"/>
      <c r="G11" s="89"/>
      <c r="H11" s="89"/>
      <c r="I11" s="89"/>
      <c r="J11" s="89"/>
      <c r="K11" s="89"/>
      <c r="L11" s="91"/>
      <c r="M11" s="89"/>
      <c r="N11" s="92"/>
      <c r="O11" s="89"/>
      <c r="P11" s="89"/>
      <c r="Q11" s="89"/>
      <c r="R11" s="89"/>
      <c r="S11" s="89"/>
      <c r="T11" s="89"/>
      <c r="U11" s="89"/>
      <c r="V11" s="89"/>
      <c r="W11" s="89"/>
      <c r="X11" s="90"/>
      <c r="Y11" s="92"/>
      <c r="Z11" s="93"/>
      <c r="AA11" s="94"/>
    </row>
    <row r="12" spans="1:89" s="9" customFormat="1" x14ac:dyDescent="0.2">
      <c r="A12" s="55">
        <v>1</v>
      </c>
      <c r="B12" s="148">
        <v>50</v>
      </c>
      <c r="C12" s="57"/>
      <c r="D12" s="58"/>
      <c r="E12" s="147">
        <v>125</v>
      </c>
      <c r="F12" s="58">
        <f>M12*(E12/1000)/$B$3</f>
        <v>9368.9523193193982</v>
      </c>
      <c r="G12" s="59">
        <f t="shared" ref="G12:G39" si="0">IF(F12&lt;2000,64/F12,0.11*POWER((($L$3/(E12/1000))+(68/F12)),0.25))</f>
        <v>3.3358752620497353E-2</v>
      </c>
      <c r="H12" s="59">
        <f t="shared" ref="H12:H39" si="1">IF(G12&lt;0.018,G12*0.85+0.0028,G12)</f>
        <v>3.3358752620497353E-2</v>
      </c>
      <c r="I12" s="59">
        <f t="shared" ref="I12:I39" si="2">IF(F12&lt;2000,G12,H12)</f>
        <v>3.3358752620497353E-2</v>
      </c>
      <c r="J12" s="150">
        <v>2.29</v>
      </c>
      <c r="K12" s="149">
        <f>I12/(E12/1000)*$O$3*M12*M12/2</f>
        <v>0.20578428539976198</v>
      </c>
      <c r="L12" s="61">
        <f t="shared" ref="L12:L35" si="3">J12*K12</f>
        <v>0.47124601356545498</v>
      </c>
      <c r="M12" s="60">
        <f t="shared" ref="M12:M39" si="4">IF(C12=0,B12/3600/3.14159/(E12/1000)/(E12/1000)*4,(B12/3600)/(C12/1000)/(D12/1000))</f>
        <v>1.1317694401737832</v>
      </c>
      <c r="N12" s="62"/>
      <c r="O12" s="58"/>
      <c r="P12" s="58"/>
      <c r="Q12" s="147"/>
      <c r="R12" s="58"/>
      <c r="S12" s="147"/>
      <c r="T12" s="58"/>
      <c r="U12" s="147"/>
      <c r="V12" s="147"/>
      <c r="W12" s="68">
        <f>SUMPRODUCT($O$9:$V$9,O12:V12)</f>
        <v>0</v>
      </c>
      <c r="X12" s="111"/>
      <c r="Y12" s="4">
        <f>Q12*$Q$9+R12*$R$9+S12*$S$9+T12*$T$9+U12*$U$9+V12*$V$9+O12*$O$9+P12*$P$9</f>
        <v>0</v>
      </c>
      <c r="Z12" s="64">
        <f>N12*Y12+W12</f>
        <v>0</v>
      </c>
      <c r="AA12" s="151">
        <f>L12+Z12</f>
        <v>0.47124601356545498</v>
      </c>
      <c r="AE12" s="27"/>
      <c r="AF12" s="9" t="s">
        <v>23</v>
      </c>
    </row>
    <row r="13" spans="1:89" s="9" customFormat="1" x14ac:dyDescent="0.2">
      <c r="A13" s="55">
        <v>2</v>
      </c>
      <c r="B13" s="148">
        <v>50</v>
      </c>
      <c r="C13" s="57"/>
      <c r="D13" s="58"/>
      <c r="E13" s="147">
        <v>125</v>
      </c>
      <c r="F13" s="58">
        <f t="shared" ref="F13:F39" si="5">M13*(E13/1000)/$B$3</f>
        <v>9368.9523193193982</v>
      </c>
      <c r="G13" s="59">
        <f t="shared" si="0"/>
        <v>3.3358752620497353E-2</v>
      </c>
      <c r="H13" s="59">
        <f t="shared" si="1"/>
        <v>3.3358752620497353E-2</v>
      </c>
      <c r="I13" s="59">
        <f t="shared" si="2"/>
        <v>3.3358752620497353E-2</v>
      </c>
      <c r="J13" s="150"/>
      <c r="K13" s="149"/>
      <c r="L13" s="61"/>
      <c r="M13" s="60">
        <f t="shared" si="4"/>
        <v>1.1317694401737832</v>
      </c>
      <c r="N13" s="62">
        <f>$O$3*M13*M13/2</f>
        <v>0.77110304355818982</v>
      </c>
      <c r="O13" s="58"/>
      <c r="P13" s="58"/>
      <c r="Q13" s="147"/>
      <c r="R13" s="58"/>
      <c r="S13" s="147"/>
      <c r="T13" s="58"/>
      <c r="U13" s="147">
        <v>1</v>
      </c>
      <c r="V13" s="147"/>
      <c r="W13" s="68">
        <f>SUMPRODUCT($O$9:$V$9,O13:V13)</f>
        <v>0.2</v>
      </c>
      <c r="X13" s="63" t="s">
        <v>89</v>
      </c>
      <c r="Y13" s="4">
        <f t="shared" ref="Y13:Y39" si="6">Q13*$Q$9+R13*$R$9+S13*$S$9+T13*$T$9+U13*$U$9+V13*$V$9+O13*$O$9+P13*$P$9</f>
        <v>0.2</v>
      </c>
      <c r="Z13" s="64">
        <f t="shared" ref="Z13:Z39" si="7">N13*Y13+W13</f>
        <v>0.35422060871163796</v>
      </c>
      <c r="AA13" s="151">
        <f t="shared" ref="AA13:AA39" si="8">L13+Z13</f>
        <v>0.35422060871163796</v>
      </c>
      <c r="AE13" s="27"/>
      <c r="AF13" s="9" t="s">
        <v>24</v>
      </c>
    </row>
    <row r="14" spans="1:89" s="9" customFormat="1" x14ac:dyDescent="0.2">
      <c r="A14" s="55">
        <f>A13+1</f>
        <v>3</v>
      </c>
      <c r="B14" s="148">
        <v>100</v>
      </c>
      <c r="C14" s="57"/>
      <c r="D14" s="58"/>
      <c r="E14" s="147">
        <v>125</v>
      </c>
      <c r="F14" s="58">
        <f t="shared" si="5"/>
        <v>18737.904638638796</v>
      </c>
      <c r="G14" s="59">
        <f t="shared" si="0"/>
        <v>2.8997273137015479E-2</v>
      </c>
      <c r="H14" s="59">
        <f t="shared" si="1"/>
        <v>2.8997273137015479E-2</v>
      </c>
      <c r="I14" s="59">
        <f t="shared" si="2"/>
        <v>2.8997273137015479E-2</v>
      </c>
      <c r="J14" s="150">
        <v>7.08</v>
      </c>
      <c r="K14" s="149">
        <f>I14/(E14/1000)*$O$3*M14*M14/2</f>
        <v>0.71551633826690464</v>
      </c>
      <c r="L14" s="61">
        <f t="shared" si="3"/>
        <v>5.0658556749296846</v>
      </c>
      <c r="M14" s="60">
        <f t="shared" si="4"/>
        <v>2.2635388803475665</v>
      </c>
      <c r="N14" s="62"/>
      <c r="O14" s="58"/>
      <c r="P14" s="58"/>
      <c r="Q14" s="147"/>
      <c r="R14" s="58"/>
      <c r="S14" s="147"/>
      <c r="T14" s="58"/>
      <c r="U14" s="147"/>
      <c r="V14" s="147"/>
      <c r="W14" s="68">
        <f t="shared" ref="W14:W39" si="9">SUMPRODUCT($O$9:$V$9,O14:V14)</f>
        <v>0</v>
      </c>
      <c r="X14" s="63"/>
      <c r="Y14" s="4">
        <f t="shared" si="6"/>
        <v>0</v>
      </c>
      <c r="Z14" s="64">
        <f>N14*Y14+W14</f>
        <v>0</v>
      </c>
      <c r="AA14" s="151">
        <f t="shared" si="8"/>
        <v>5.0658556749296846</v>
      </c>
      <c r="AE14" s="27"/>
    </row>
    <row r="15" spans="1:89" s="9" customFormat="1" x14ac:dyDescent="0.2">
      <c r="A15" s="55">
        <f t="shared" ref="A15:A39" si="10">A14+1</f>
        <v>4</v>
      </c>
      <c r="B15" s="148">
        <v>100</v>
      </c>
      <c r="C15" s="57"/>
      <c r="D15" s="58"/>
      <c r="E15" s="147">
        <v>125</v>
      </c>
      <c r="F15" s="58">
        <f t="shared" si="5"/>
        <v>18737.904638638796</v>
      </c>
      <c r="G15" s="59">
        <f t="shared" si="0"/>
        <v>2.8997273137015479E-2</v>
      </c>
      <c r="H15" s="59">
        <f t="shared" si="1"/>
        <v>2.8997273137015479E-2</v>
      </c>
      <c r="I15" s="59">
        <f t="shared" si="2"/>
        <v>2.8997273137015479E-2</v>
      </c>
      <c r="J15" s="150"/>
      <c r="K15" s="149"/>
      <c r="L15" s="61"/>
      <c r="M15" s="60">
        <f t="shared" si="4"/>
        <v>2.2635388803475665</v>
      </c>
      <c r="N15" s="62">
        <f t="shared" ref="N15:N21" si="11">$O$3*M15*M15/2</f>
        <v>3.0844121742327593</v>
      </c>
      <c r="O15" s="58"/>
      <c r="P15" s="58"/>
      <c r="Q15" s="147">
        <v>1</v>
      </c>
      <c r="R15" s="58"/>
      <c r="S15" s="147"/>
      <c r="T15" s="58"/>
      <c r="U15" s="147"/>
      <c r="V15" s="147"/>
      <c r="W15" s="68">
        <f t="shared" si="9"/>
        <v>0.5</v>
      </c>
      <c r="X15" s="63" t="s">
        <v>90</v>
      </c>
      <c r="Y15" s="4">
        <f t="shared" si="6"/>
        <v>0.5</v>
      </c>
      <c r="Z15" s="64">
        <f t="shared" si="7"/>
        <v>2.0422060871163796</v>
      </c>
      <c r="AA15" s="151">
        <f t="shared" si="8"/>
        <v>2.0422060871163796</v>
      </c>
      <c r="AE15" s="27"/>
    </row>
    <row r="16" spans="1:89" s="9" customFormat="1" x14ac:dyDescent="0.2">
      <c r="A16" s="55">
        <f t="shared" si="10"/>
        <v>5</v>
      </c>
      <c r="B16" s="148">
        <v>100</v>
      </c>
      <c r="C16" s="57"/>
      <c r="D16" s="58"/>
      <c r="E16" s="147">
        <v>125</v>
      </c>
      <c r="F16" s="58">
        <f t="shared" si="5"/>
        <v>18737.904638638796</v>
      </c>
      <c r="G16" s="59">
        <f t="shared" si="0"/>
        <v>2.8997273137015479E-2</v>
      </c>
      <c r="H16" s="59">
        <f t="shared" si="1"/>
        <v>2.8997273137015479E-2</v>
      </c>
      <c r="I16" s="59">
        <f t="shared" si="2"/>
        <v>2.8997273137015479E-2</v>
      </c>
      <c r="J16" s="150">
        <v>2.0329999999999999</v>
      </c>
      <c r="K16" s="149">
        <f>I16/(E16/1000)*$O$3*M16*M16/2</f>
        <v>0.71551633826690464</v>
      </c>
      <c r="L16" s="61">
        <f t="shared" si="3"/>
        <v>1.4546447156966171</v>
      </c>
      <c r="M16" s="60">
        <f t="shared" si="4"/>
        <v>2.2635388803475665</v>
      </c>
      <c r="N16" s="62"/>
      <c r="O16" s="58"/>
      <c r="P16" s="58"/>
      <c r="Q16" s="147"/>
      <c r="R16" s="58"/>
      <c r="S16" s="147"/>
      <c r="T16" s="58"/>
      <c r="U16" s="147"/>
      <c r="V16" s="147"/>
      <c r="W16" s="68">
        <f t="shared" si="9"/>
        <v>0</v>
      </c>
      <c r="X16" s="63"/>
      <c r="Y16" s="4">
        <f t="shared" si="6"/>
        <v>0</v>
      </c>
      <c r="Z16" s="64">
        <f t="shared" si="7"/>
        <v>0</v>
      </c>
      <c r="AA16" s="151">
        <f t="shared" si="8"/>
        <v>1.4546447156966171</v>
      </c>
      <c r="AE16" s="27"/>
    </row>
    <row r="17" spans="1:31" s="9" customFormat="1" x14ac:dyDescent="0.2">
      <c r="A17" s="55">
        <f t="shared" si="10"/>
        <v>6</v>
      </c>
      <c r="B17" s="148">
        <v>100</v>
      </c>
      <c r="C17" s="57"/>
      <c r="D17" s="58"/>
      <c r="E17" s="147">
        <v>125</v>
      </c>
      <c r="F17" s="58">
        <f t="shared" si="5"/>
        <v>18737.904638638796</v>
      </c>
      <c r="G17" s="59">
        <f t="shared" si="0"/>
        <v>2.8997273137015479E-2</v>
      </c>
      <c r="H17" s="59">
        <f t="shared" si="1"/>
        <v>2.8997273137015479E-2</v>
      </c>
      <c r="I17" s="59">
        <f t="shared" si="2"/>
        <v>2.8997273137015479E-2</v>
      </c>
      <c r="J17" s="150"/>
      <c r="K17" s="149"/>
      <c r="L17" s="61"/>
      <c r="M17" s="60">
        <f t="shared" si="4"/>
        <v>2.2635388803475665</v>
      </c>
      <c r="N17" s="62">
        <f t="shared" si="11"/>
        <v>3.0844121742327593</v>
      </c>
      <c r="O17" s="58"/>
      <c r="P17" s="58"/>
      <c r="Q17" s="147"/>
      <c r="R17" s="58"/>
      <c r="S17" s="147"/>
      <c r="T17" s="58"/>
      <c r="U17" s="147">
        <v>1</v>
      </c>
      <c r="V17" s="147"/>
      <c r="W17" s="68">
        <f t="shared" si="9"/>
        <v>0.2</v>
      </c>
      <c r="X17" s="63" t="s">
        <v>89</v>
      </c>
      <c r="Y17" s="4">
        <f t="shared" si="6"/>
        <v>0.2</v>
      </c>
      <c r="Z17" s="64">
        <f t="shared" si="7"/>
        <v>0.81688243484655199</v>
      </c>
      <c r="AA17" s="151">
        <f t="shared" si="8"/>
        <v>0.81688243484655199</v>
      </c>
      <c r="AE17" s="27"/>
    </row>
    <row r="18" spans="1:31" s="9" customFormat="1" x14ac:dyDescent="0.2">
      <c r="A18" s="55">
        <f t="shared" si="10"/>
        <v>7</v>
      </c>
      <c r="B18" s="148">
        <v>150</v>
      </c>
      <c r="C18" s="57"/>
      <c r="D18" s="58"/>
      <c r="E18" s="147">
        <v>125</v>
      </c>
      <c r="F18" s="58">
        <f t="shared" si="5"/>
        <v>28106.856957958193</v>
      </c>
      <c r="G18" s="59">
        <f t="shared" si="0"/>
        <v>2.6980499431902033E-2</v>
      </c>
      <c r="H18" s="59">
        <f t="shared" si="1"/>
        <v>2.6980499431902033E-2</v>
      </c>
      <c r="I18" s="59">
        <f t="shared" si="2"/>
        <v>2.6980499431902033E-2</v>
      </c>
      <c r="J18" s="150">
        <v>2.84</v>
      </c>
      <c r="K18" s="149">
        <f>I18/(E18/1000)*$O$3*M18*M18/2</f>
        <v>1.4979416564634958</v>
      </c>
      <c r="L18" s="61">
        <f t="shared" si="3"/>
        <v>4.2541543043563275</v>
      </c>
      <c r="M18" s="60">
        <f t="shared" si="4"/>
        <v>3.3953083205213495</v>
      </c>
      <c r="N18" s="62"/>
      <c r="O18" s="58"/>
      <c r="P18" s="58"/>
      <c r="Q18" s="147"/>
      <c r="R18" s="58"/>
      <c r="S18" s="147"/>
      <c r="T18" s="58"/>
      <c r="U18" s="147"/>
      <c r="V18" s="147"/>
      <c r="W18" s="68">
        <f t="shared" si="9"/>
        <v>0</v>
      </c>
      <c r="X18" s="63"/>
      <c r="Y18" s="4">
        <f t="shared" si="6"/>
        <v>0</v>
      </c>
      <c r="Z18" s="64">
        <f t="shared" si="7"/>
        <v>0</v>
      </c>
      <c r="AA18" s="151">
        <f t="shared" si="8"/>
        <v>4.2541543043563275</v>
      </c>
      <c r="AE18" s="27"/>
    </row>
    <row r="19" spans="1:31" s="9" customFormat="1" x14ac:dyDescent="0.2">
      <c r="A19" s="55">
        <f t="shared" si="10"/>
        <v>8</v>
      </c>
      <c r="B19" s="148">
        <v>150</v>
      </c>
      <c r="C19" s="57"/>
      <c r="D19" s="58"/>
      <c r="E19" s="147">
        <v>125</v>
      </c>
      <c r="F19" s="58">
        <f t="shared" si="5"/>
        <v>28106.856957958193</v>
      </c>
      <c r="G19" s="59">
        <f t="shared" si="0"/>
        <v>2.6980499431902033E-2</v>
      </c>
      <c r="H19" s="59">
        <f t="shared" si="1"/>
        <v>2.6980499431902033E-2</v>
      </c>
      <c r="I19" s="59">
        <f t="shared" si="2"/>
        <v>2.6980499431902033E-2</v>
      </c>
      <c r="J19" s="150"/>
      <c r="K19" s="149"/>
      <c r="L19" s="61"/>
      <c r="M19" s="60">
        <f t="shared" si="4"/>
        <v>3.3953083205213495</v>
      </c>
      <c r="N19" s="62">
        <f t="shared" si="11"/>
        <v>6.9399273920237068</v>
      </c>
      <c r="O19" s="58"/>
      <c r="P19" s="58"/>
      <c r="Q19" s="147"/>
      <c r="R19" s="58"/>
      <c r="S19" s="147"/>
      <c r="T19" s="58"/>
      <c r="U19" s="147">
        <v>1</v>
      </c>
      <c r="V19" s="147"/>
      <c r="W19" s="68">
        <f t="shared" si="9"/>
        <v>0.2</v>
      </c>
      <c r="X19" s="63" t="s">
        <v>89</v>
      </c>
      <c r="Y19" s="4">
        <f t="shared" si="6"/>
        <v>0.2</v>
      </c>
      <c r="Z19" s="64">
        <f t="shared" si="7"/>
        <v>1.5879854784047414</v>
      </c>
      <c r="AA19" s="151">
        <f t="shared" si="8"/>
        <v>1.5879854784047414</v>
      </c>
      <c r="AE19" s="27"/>
    </row>
    <row r="20" spans="1:31" s="9" customFormat="1" x14ac:dyDescent="0.2">
      <c r="A20" s="55">
        <f t="shared" si="10"/>
        <v>9</v>
      </c>
      <c r="B20" s="148">
        <v>200</v>
      </c>
      <c r="C20" s="57"/>
      <c r="D20" s="58"/>
      <c r="E20" s="147">
        <v>125</v>
      </c>
      <c r="F20" s="58">
        <f t="shared" si="5"/>
        <v>37475.809277277593</v>
      </c>
      <c r="G20" s="59">
        <f t="shared" si="0"/>
        <v>2.5774879623136779E-2</v>
      </c>
      <c r="H20" s="59">
        <f t="shared" si="1"/>
        <v>2.5774879623136779E-2</v>
      </c>
      <c r="I20" s="59">
        <f t="shared" si="2"/>
        <v>2.5774879623136779E-2</v>
      </c>
      <c r="J20" s="150">
        <v>2.75</v>
      </c>
      <c r="K20" s="149">
        <f>I20/(E20/1000)*$O$3*M20*M20/2</f>
        <v>2.5440112799675823</v>
      </c>
      <c r="L20" s="61">
        <f t="shared" si="3"/>
        <v>6.9960310199108511</v>
      </c>
      <c r="M20" s="60">
        <f t="shared" si="4"/>
        <v>4.5270777606951329</v>
      </c>
      <c r="N20" s="62"/>
      <c r="O20" s="58"/>
      <c r="P20" s="58"/>
      <c r="Q20" s="147"/>
      <c r="R20" s="58"/>
      <c r="S20" s="147"/>
      <c r="T20" s="58"/>
      <c r="U20" s="147"/>
      <c r="V20" s="147"/>
      <c r="W20" s="68">
        <f t="shared" si="9"/>
        <v>0</v>
      </c>
      <c r="X20" s="63"/>
      <c r="Y20" s="4">
        <f t="shared" si="6"/>
        <v>0</v>
      </c>
      <c r="Z20" s="64">
        <f t="shared" si="7"/>
        <v>0</v>
      </c>
      <c r="AA20" s="151">
        <f t="shared" si="8"/>
        <v>6.9960310199108511</v>
      </c>
      <c r="AE20" s="27"/>
    </row>
    <row r="21" spans="1:31" s="9" customFormat="1" x14ac:dyDescent="0.2">
      <c r="A21" s="55">
        <f t="shared" si="10"/>
        <v>10</v>
      </c>
      <c r="B21" s="148">
        <v>200</v>
      </c>
      <c r="C21" s="57"/>
      <c r="D21" s="58"/>
      <c r="E21" s="147">
        <v>125</v>
      </c>
      <c r="F21" s="58">
        <f t="shared" si="5"/>
        <v>37475.809277277593</v>
      </c>
      <c r="G21" s="59">
        <f t="shared" si="0"/>
        <v>2.5774879623136779E-2</v>
      </c>
      <c r="H21" s="59">
        <f t="shared" si="1"/>
        <v>2.5774879623136779E-2</v>
      </c>
      <c r="I21" s="59">
        <f t="shared" si="2"/>
        <v>2.5774879623136779E-2</v>
      </c>
      <c r="J21" s="150"/>
      <c r="K21" s="149"/>
      <c r="L21" s="61"/>
      <c r="M21" s="60">
        <f t="shared" si="4"/>
        <v>4.5270777606951329</v>
      </c>
      <c r="N21" s="62">
        <f t="shared" si="11"/>
        <v>12.337648696931037</v>
      </c>
      <c r="O21" s="58"/>
      <c r="P21" s="58"/>
      <c r="Q21" s="147"/>
      <c r="R21" s="58"/>
      <c r="S21" s="147"/>
      <c r="T21" s="58"/>
      <c r="U21" s="147">
        <v>1</v>
      </c>
      <c r="V21" s="147"/>
      <c r="W21" s="68">
        <f t="shared" si="9"/>
        <v>0.2</v>
      </c>
      <c r="X21" s="63" t="s">
        <v>89</v>
      </c>
      <c r="Y21" s="4">
        <f>Q21*$Q$9+R21*$R$9+S21*$S$9+T21*$T$9+U21*$U$9+V21*$V$9+O21*$O$9+P21*$P$9</f>
        <v>0.2</v>
      </c>
      <c r="Z21" s="64">
        <f t="shared" si="7"/>
        <v>2.6675297393862079</v>
      </c>
      <c r="AA21" s="151">
        <f t="shared" si="8"/>
        <v>2.6675297393862079</v>
      </c>
      <c r="AE21" s="27"/>
    </row>
    <row r="22" spans="1:31" s="9" customFormat="1" x14ac:dyDescent="0.2">
      <c r="A22" s="55">
        <f t="shared" si="10"/>
        <v>11</v>
      </c>
      <c r="B22" s="148">
        <v>250</v>
      </c>
      <c r="C22" s="57"/>
      <c r="D22" s="58"/>
      <c r="E22" s="147">
        <v>125</v>
      </c>
      <c r="F22" s="58">
        <f t="shared" si="5"/>
        <v>46844.761596596996</v>
      </c>
      <c r="G22" s="59">
        <f t="shared" si="0"/>
        <v>2.4961450226834204E-2</v>
      </c>
      <c r="H22" s="59">
        <f t="shared" si="1"/>
        <v>2.4961450226834204E-2</v>
      </c>
      <c r="I22" s="59">
        <f t="shared" si="2"/>
        <v>2.4961450226834204E-2</v>
      </c>
      <c r="J22" s="150">
        <v>2.38</v>
      </c>
      <c r="K22" s="149">
        <f>I22/(E22/1000)*$O$3*M22*M22/2</f>
        <v>3.8495700483076249</v>
      </c>
      <c r="L22" s="61">
        <f t="shared" si="3"/>
        <v>9.1619767149721465</v>
      </c>
      <c r="M22" s="60">
        <f t="shared" si="4"/>
        <v>5.6588472008689168</v>
      </c>
      <c r="N22" s="62"/>
      <c r="O22" s="58"/>
      <c r="P22" s="58"/>
      <c r="Q22" s="147"/>
      <c r="R22" s="58"/>
      <c r="S22" s="147"/>
      <c r="T22" s="58"/>
      <c r="U22" s="147"/>
      <c r="V22" s="147"/>
      <c r="W22" s="68">
        <f t="shared" si="9"/>
        <v>0</v>
      </c>
      <c r="X22" s="63"/>
      <c r="Y22" s="4">
        <f t="shared" si="6"/>
        <v>0</v>
      </c>
      <c r="Z22" s="64">
        <f t="shared" si="7"/>
        <v>0</v>
      </c>
      <c r="AA22" s="151">
        <f t="shared" si="8"/>
        <v>9.1619767149721465</v>
      </c>
      <c r="AE22" s="27"/>
    </row>
    <row r="23" spans="1:31" s="9" customFormat="1" x14ac:dyDescent="0.2">
      <c r="A23" s="55">
        <f t="shared" si="10"/>
        <v>12</v>
      </c>
      <c r="B23" s="148">
        <v>250</v>
      </c>
      <c r="C23" s="57"/>
      <c r="D23" s="58"/>
      <c r="E23" s="147">
        <v>125</v>
      </c>
      <c r="F23" s="58">
        <f t="shared" si="5"/>
        <v>46844.761596596996</v>
      </c>
      <c r="G23" s="59">
        <f t="shared" si="0"/>
        <v>2.4961450226834204E-2</v>
      </c>
      <c r="H23" s="59">
        <f t="shared" si="1"/>
        <v>2.4961450226834204E-2</v>
      </c>
      <c r="I23" s="59">
        <f t="shared" si="2"/>
        <v>2.4961450226834204E-2</v>
      </c>
      <c r="J23" s="150"/>
      <c r="K23" s="149"/>
      <c r="L23" s="61"/>
      <c r="M23" s="60">
        <v>5.6588472008689168</v>
      </c>
      <c r="N23" s="62">
        <v>19.28</v>
      </c>
      <c r="O23" s="58"/>
      <c r="P23" s="58"/>
      <c r="Q23" s="147"/>
      <c r="R23" s="58"/>
      <c r="S23" s="147">
        <v>1</v>
      </c>
      <c r="T23" s="58"/>
      <c r="U23" s="147"/>
      <c r="V23" s="147"/>
      <c r="W23" s="68">
        <f t="shared" si="9"/>
        <v>0.25</v>
      </c>
      <c r="X23" s="63" t="s">
        <v>91</v>
      </c>
      <c r="Y23" s="4">
        <f t="shared" si="6"/>
        <v>0.25</v>
      </c>
      <c r="Z23" s="64">
        <f t="shared" si="7"/>
        <v>5.07</v>
      </c>
      <c r="AA23" s="151">
        <f t="shared" si="8"/>
        <v>5.07</v>
      </c>
      <c r="AE23" s="27"/>
    </row>
    <row r="24" spans="1:31" s="9" customFormat="1" x14ac:dyDescent="0.2">
      <c r="A24" s="55">
        <f t="shared" si="10"/>
        <v>13</v>
      </c>
      <c r="B24" s="148">
        <v>250</v>
      </c>
      <c r="C24" s="57"/>
      <c r="D24" s="58"/>
      <c r="E24" s="147">
        <v>160</v>
      </c>
      <c r="F24" s="58">
        <f t="shared" si="5"/>
        <v>59961.294843644151</v>
      </c>
      <c r="G24" s="59">
        <f t="shared" si="0"/>
        <v>2.3467526732738692E-2</v>
      </c>
      <c r="H24" s="59">
        <f t="shared" si="1"/>
        <v>2.3467526732738692E-2</v>
      </c>
      <c r="I24" s="59">
        <f t="shared" si="2"/>
        <v>2.3467526732738692E-2</v>
      </c>
      <c r="J24" s="150"/>
      <c r="K24" s="149"/>
      <c r="L24" s="61"/>
      <c r="M24" s="60">
        <v>5.6588472008689168</v>
      </c>
      <c r="N24" s="62">
        <v>19.28</v>
      </c>
      <c r="O24" s="58"/>
      <c r="P24" s="58"/>
      <c r="Q24" s="147"/>
      <c r="R24" s="58"/>
      <c r="S24" s="147"/>
      <c r="T24" s="58"/>
      <c r="U24" s="147">
        <v>1</v>
      </c>
      <c r="V24" s="147"/>
      <c r="W24" s="68">
        <f t="shared" si="9"/>
        <v>0.2</v>
      </c>
      <c r="X24" s="63" t="s">
        <v>89</v>
      </c>
      <c r="Y24" s="4">
        <f t="shared" si="6"/>
        <v>0.2</v>
      </c>
      <c r="Z24" s="64">
        <f t="shared" si="7"/>
        <v>4.056</v>
      </c>
      <c r="AA24" s="151">
        <f t="shared" si="8"/>
        <v>4.056</v>
      </c>
      <c r="AE24" s="27"/>
    </row>
    <row r="25" spans="1:31" s="9" customFormat="1" x14ac:dyDescent="0.2">
      <c r="A25" s="55">
        <f t="shared" si="10"/>
        <v>14</v>
      </c>
      <c r="B25" s="148">
        <v>300</v>
      </c>
      <c r="C25" s="57"/>
      <c r="D25" s="58"/>
      <c r="E25" s="147">
        <v>160</v>
      </c>
      <c r="F25" s="58">
        <f t="shared" si="5"/>
        <v>43916.963996809674</v>
      </c>
      <c r="G25" s="59">
        <f t="shared" si="0"/>
        <v>2.4561934977434422E-2</v>
      </c>
      <c r="H25" s="59">
        <f t="shared" si="1"/>
        <v>2.4561934977434422E-2</v>
      </c>
      <c r="I25" s="59">
        <f t="shared" si="2"/>
        <v>2.4561934977434422E-2</v>
      </c>
      <c r="J25" s="150">
        <v>2.73</v>
      </c>
      <c r="K25" s="149">
        <f t="shared" ref="K25:K33" si="12">I25/(E25/1000)*$O$3*M25*M25/2</f>
        <v>1.5875142566021747</v>
      </c>
      <c r="L25" s="61">
        <f t="shared" si="3"/>
        <v>4.333913920523937</v>
      </c>
      <c r="M25" s="60">
        <f t="shared" si="4"/>
        <v>4.1446634771989128</v>
      </c>
      <c r="N25" s="62"/>
      <c r="O25" s="58"/>
      <c r="P25" s="58"/>
      <c r="Q25" s="147"/>
      <c r="R25" s="58"/>
      <c r="S25" s="147"/>
      <c r="T25" s="58"/>
      <c r="U25" s="147"/>
      <c r="V25" s="147"/>
      <c r="W25" s="68">
        <f t="shared" si="9"/>
        <v>0</v>
      </c>
      <c r="X25" s="63"/>
      <c r="Y25" s="4">
        <f t="shared" si="6"/>
        <v>0</v>
      </c>
      <c r="Z25" s="64">
        <f t="shared" si="7"/>
        <v>0</v>
      </c>
      <c r="AA25" s="151">
        <f t="shared" si="8"/>
        <v>4.333913920523937</v>
      </c>
      <c r="AE25" s="27"/>
    </row>
    <row r="26" spans="1:31" s="9" customFormat="1" x14ac:dyDescent="0.2">
      <c r="A26" s="55">
        <f t="shared" si="10"/>
        <v>15</v>
      </c>
      <c r="B26" s="148">
        <v>300</v>
      </c>
      <c r="C26" s="57"/>
      <c r="D26" s="58"/>
      <c r="E26" s="147">
        <v>160</v>
      </c>
      <c r="F26" s="58">
        <f t="shared" si="5"/>
        <v>43916.963996809674</v>
      </c>
      <c r="G26" s="59">
        <f t="shared" si="0"/>
        <v>2.4561934977434422E-2</v>
      </c>
      <c r="H26" s="59">
        <f t="shared" si="1"/>
        <v>2.4561934977434422E-2</v>
      </c>
      <c r="I26" s="59">
        <f t="shared" si="2"/>
        <v>2.4561934977434422E-2</v>
      </c>
      <c r="J26" s="150"/>
      <c r="K26" s="149"/>
      <c r="L26" s="61"/>
      <c r="M26" s="60">
        <v>4.1446634771989128</v>
      </c>
      <c r="N26" s="62">
        <v>10.34</v>
      </c>
      <c r="O26" s="58"/>
      <c r="P26" s="58"/>
      <c r="Q26" s="147"/>
      <c r="R26" s="58"/>
      <c r="S26" s="147"/>
      <c r="T26" s="58"/>
      <c r="U26" s="147">
        <v>1</v>
      </c>
      <c r="V26" s="147"/>
      <c r="W26" s="68">
        <f t="shared" si="9"/>
        <v>0.2</v>
      </c>
      <c r="X26" s="63" t="s">
        <v>89</v>
      </c>
      <c r="Y26" s="4">
        <f t="shared" si="6"/>
        <v>0.2</v>
      </c>
      <c r="Z26" s="64">
        <f t="shared" si="7"/>
        <v>2.2680000000000002</v>
      </c>
      <c r="AA26" s="151">
        <f t="shared" si="8"/>
        <v>2.2680000000000002</v>
      </c>
      <c r="AE26" s="27"/>
    </row>
    <row r="27" spans="1:31" s="9" customFormat="1" x14ac:dyDescent="0.2">
      <c r="A27" s="55">
        <f t="shared" si="10"/>
        <v>16</v>
      </c>
      <c r="B27" s="148">
        <v>350</v>
      </c>
      <c r="C27" s="57"/>
      <c r="D27" s="58"/>
      <c r="E27" s="147">
        <v>160</v>
      </c>
      <c r="F27" s="58">
        <f t="shared" si="5"/>
        <v>51236.457996277953</v>
      </c>
      <c r="G27" s="59">
        <f t="shared" si="0"/>
        <v>2.3996306152523333E-2</v>
      </c>
      <c r="H27" s="59">
        <f t="shared" si="1"/>
        <v>2.3996306152523333E-2</v>
      </c>
      <c r="I27" s="59">
        <f t="shared" si="2"/>
        <v>2.3996306152523333E-2</v>
      </c>
      <c r="J27" s="150">
        <v>2.71</v>
      </c>
      <c r="K27" s="149">
        <f t="shared" si="12"/>
        <v>2.1110233168813344</v>
      </c>
      <c r="L27" s="61">
        <f t="shared" si="3"/>
        <v>5.7208731887484161</v>
      </c>
      <c r="M27" s="60">
        <f t="shared" si="4"/>
        <v>4.8354407233987313</v>
      </c>
      <c r="N27" s="62"/>
      <c r="O27" s="58"/>
      <c r="P27" s="58"/>
      <c r="Q27" s="147"/>
      <c r="R27" s="58"/>
      <c r="S27" s="147"/>
      <c r="T27" s="58"/>
      <c r="U27" s="147"/>
      <c r="V27" s="147"/>
      <c r="W27" s="68">
        <f t="shared" si="9"/>
        <v>0</v>
      </c>
      <c r="X27" s="63"/>
      <c r="Y27" s="4">
        <f t="shared" si="6"/>
        <v>0</v>
      </c>
      <c r="Z27" s="64">
        <f t="shared" si="7"/>
        <v>0</v>
      </c>
      <c r="AA27" s="151">
        <f t="shared" si="8"/>
        <v>5.7208731887484161</v>
      </c>
      <c r="AE27" s="27"/>
    </row>
    <row r="28" spans="1:31" s="9" customFormat="1" x14ac:dyDescent="0.2">
      <c r="A28" s="55">
        <f t="shared" si="10"/>
        <v>17</v>
      </c>
      <c r="B28" s="148">
        <v>350</v>
      </c>
      <c r="C28" s="57"/>
      <c r="D28" s="58"/>
      <c r="E28" s="147">
        <v>160</v>
      </c>
      <c r="F28" s="58">
        <f t="shared" si="5"/>
        <v>51284.768211920527</v>
      </c>
      <c r="G28" s="59">
        <f t="shared" si="0"/>
        <v>2.3992993713554584E-2</v>
      </c>
      <c r="H28" s="59">
        <f t="shared" si="1"/>
        <v>2.3992993713554584E-2</v>
      </c>
      <c r="I28" s="59">
        <f t="shared" si="2"/>
        <v>2.3992993713554584E-2</v>
      </c>
      <c r="J28" s="150"/>
      <c r="K28" s="149"/>
      <c r="L28" s="61"/>
      <c r="M28" s="60">
        <v>4.84</v>
      </c>
      <c r="N28" s="62">
        <v>14.08</v>
      </c>
      <c r="O28" s="58"/>
      <c r="P28" s="58"/>
      <c r="Q28" s="147"/>
      <c r="R28" s="58"/>
      <c r="S28" s="147"/>
      <c r="T28" s="58"/>
      <c r="U28" s="147">
        <v>1</v>
      </c>
      <c r="V28" s="147"/>
      <c r="W28" s="68">
        <f t="shared" si="9"/>
        <v>0.2</v>
      </c>
      <c r="X28" s="63" t="s">
        <v>89</v>
      </c>
      <c r="Y28" s="4">
        <f t="shared" si="6"/>
        <v>0.2</v>
      </c>
      <c r="Z28" s="64">
        <f t="shared" si="7"/>
        <v>3.0160000000000005</v>
      </c>
      <c r="AA28" s="151">
        <f t="shared" si="8"/>
        <v>3.0160000000000005</v>
      </c>
      <c r="AE28" s="27"/>
    </row>
    <row r="29" spans="1:31" s="9" customFormat="1" x14ac:dyDescent="0.2">
      <c r="A29" s="55">
        <f t="shared" si="10"/>
        <v>18</v>
      </c>
      <c r="B29" s="148">
        <v>400</v>
      </c>
      <c r="C29" s="57"/>
      <c r="D29" s="58"/>
      <c r="E29" s="147">
        <v>160</v>
      </c>
      <c r="F29" s="58">
        <f t="shared" si="5"/>
        <v>58555.951995746233</v>
      </c>
      <c r="G29" s="59">
        <f t="shared" si="0"/>
        <v>2.3544232711543104E-2</v>
      </c>
      <c r="H29" s="59">
        <f t="shared" si="1"/>
        <v>2.3544232711543104E-2</v>
      </c>
      <c r="I29" s="59">
        <f t="shared" si="2"/>
        <v>2.3544232711543104E-2</v>
      </c>
      <c r="J29" s="150">
        <v>2.84</v>
      </c>
      <c r="K29" s="149">
        <f t="shared" si="12"/>
        <v>2.7053102109004814</v>
      </c>
      <c r="L29" s="61">
        <f t="shared" si="3"/>
        <v>7.683080998957367</v>
      </c>
      <c r="M29" s="60">
        <f t="shared" si="4"/>
        <v>5.5262179695985507</v>
      </c>
      <c r="N29" s="62"/>
      <c r="O29" s="58"/>
      <c r="P29" s="58"/>
      <c r="Q29" s="147"/>
      <c r="R29" s="58"/>
      <c r="S29" s="147"/>
      <c r="T29" s="58"/>
      <c r="U29" s="147"/>
      <c r="V29" s="147"/>
      <c r="W29" s="68">
        <f t="shared" si="9"/>
        <v>0</v>
      </c>
      <c r="X29" s="63"/>
      <c r="Y29" s="4">
        <f t="shared" si="6"/>
        <v>0</v>
      </c>
      <c r="Z29" s="64">
        <f t="shared" si="7"/>
        <v>0</v>
      </c>
      <c r="AA29" s="151">
        <f t="shared" si="8"/>
        <v>7.683080998957367</v>
      </c>
      <c r="AE29" s="27"/>
    </row>
    <row r="30" spans="1:31" s="9" customFormat="1" x14ac:dyDescent="0.2">
      <c r="A30" s="55">
        <f t="shared" si="10"/>
        <v>19</v>
      </c>
      <c r="B30" s="148">
        <v>400</v>
      </c>
      <c r="C30" s="57"/>
      <c r="D30" s="58"/>
      <c r="E30" s="147">
        <v>160</v>
      </c>
      <c r="F30" s="58">
        <f t="shared" si="5"/>
        <v>58596.02649006623</v>
      </c>
      <c r="G30" s="59">
        <f t="shared" si="0"/>
        <v>2.3542005012524798E-2</v>
      </c>
      <c r="H30" s="59">
        <f t="shared" si="1"/>
        <v>2.3542005012524798E-2</v>
      </c>
      <c r="I30" s="59">
        <f t="shared" si="2"/>
        <v>2.3542005012524798E-2</v>
      </c>
      <c r="J30" s="150"/>
      <c r="K30" s="149"/>
      <c r="L30" s="61"/>
      <c r="M30" s="60">
        <v>5.53</v>
      </c>
      <c r="N30" s="62">
        <v>18.38</v>
      </c>
      <c r="O30" s="58"/>
      <c r="P30" s="58"/>
      <c r="Q30" s="147"/>
      <c r="R30" s="58"/>
      <c r="S30" s="147"/>
      <c r="T30" s="58"/>
      <c r="U30" s="147">
        <v>1</v>
      </c>
      <c r="V30" s="147"/>
      <c r="W30" s="68">
        <f t="shared" si="9"/>
        <v>0.2</v>
      </c>
      <c r="X30" s="63" t="s">
        <v>89</v>
      </c>
      <c r="Y30" s="4">
        <f t="shared" si="6"/>
        <v>0.2</v>
      </c>
      <c r="Z30" s="64">
        <f t="shared" si="7"/>
        <v>3.8760000000000003</v>
      </c>
      <c r="AA30" s="151">
        <f t="shared" si="8"/>
        <v>3.8760000000000003</v>
      </c>
      <c r="AE30" s="27"/>
    </row>
    <row r="31" spans="1:31" s="9" customFormat="1" x14ac:dyDescent="0.2">
      <c r="A31" s="55">
        <f t="shared" si="10"/>
        <v>20</v>
      </c>
      <c r="B31" s="148">
        <v>450</v>
      </c>
      <c r="C31" s="57"/>
      <c r="D31" s="58"/>
      <c r="E31" s="147">
        <v>160</v>
      </c>
      <c r="F31" s="58">
        <f t="shared" si="5"/>
        <v>65875.445995214526</v>
      </c>
      <c r="G31" s="59">
        <f t="shared" si="0"/>
        <v>2.3173707541403323E-2</v>
      </c>
      <c r="H31" s="59">
        <f t="shared" si="1"/>
        <v>2.3173707541403323E-2</v>
      </c>
      <c r="I31" s="59">
        <f t="shared" si="2"/>
        <v>2.3173707541403323E-2</v>
      </c>
      <c r="J31" s="150">
        <v>2.76</v>
      </c>
      <c r="K31" s="149">
        <f t="shared" si="12"/>
        <v>3.3700247986055487</v>
      </c>
      <c r="L31" s="61">
        <f t="shared" si="3"/>
        <v>9.3012684441513134</v>
      </c>
      <c r="M31" s="60">
        <f t="shared" si="4"/>
        <v>6.2169952157983701</v>
      </c>
      <c r="N31" s="62"/>
      <c r="O31" s="58"/>
      <c r="P31" s="58"/>
      <c r="Q31" s="147"/>
      <c r="R31" s="58"/>
      <c r="S31" s="147"/>
      <c r="T31" s="58"/>
      <c r="U31" s="147"/>
      <c r="V31" s="147"/>
      <c r="W31" s="68">
        <f t="shared" si="9"/>
        <v>0</v>
      </c>
      <c r="X31" s="63"/>
      <c r="Y31" s="4">
        <f t="shared" si="6"/>
        <v>0</v>
      </c>
      <c r="Z31" s="64">
        <f t="shared" si="7"/>
        <v>0</v>
      </c>
      <c r="AA31" s="151">
        <f t="shared" si="8"/>
        <v>9.3012684441513134</v>
      </c>
      <c r="AE31" s="27"/>
    </row>
    <row r="32" spans="1:31" s="9" customFormat="1" x14ac:dyDescent="0.2">
      <c r="A32" s="55">
        <f t="shared" si="10"/>
        <v>21</v>
      </c>
      <c r="B32" s="148">
        <v>450</v>
      </c>
      <c r="C32" s="57"/>
      <c r="D32" s="58"/>
      <c r="E32" s="147">
        <v>160</v>
      </c>
      <c r="F32" s="58">
        <f t="shared" si="5"/>
        <v>65907.284768211917</v>
      </c>
      <c r="G32" s="59">
        <f t="shared" si="0"/>
        <v>2.3172240732069752E-2</v>
      </c>
      <c r="H32" s="59">
        <f t="shared" si="1"/>
        <v>2.3172240732069752E-2</v>
      </c>
      <c r="I32" s="59">
        <f t="shared" si="2"/>
        <v>2.3172240732069752E-2</v>
      </c>
      <c r="J32" s="150"/>
      <c r="K32" s="149"/>
      <c r="L32" s="61"/>
      <c r="M32" s="60">
        <v>6.22</v>
      </c>
      <c r="N32" s="62">
        <v>23.27</v>
      </c>
      <c r="O32" s="58"/>
      <c r="P32" s="58"/>
      <c r="Q32" s="147"/>
      <c r="R32" s="58"/>
      <c r="S32" s="147"/>
      <c r="T32" s="58"/>
      <c r="U32" s="147">
        <v>1</v>
      </c>
      <c r="V32" s="147"/>
      <c r="W32" s="68">
        <f t="shared" si="9"/>
        <v>0.2</v>
      </c>
      <c r="X32" s="63" t="s">
        <v>89</v>
      </c>
      <c r="Y32" s="4">
        <f t="shared" si="6"/>
        <v>0.2</v>
      </c>
      <c r="Z32" s="64">
        <f t="shared" si="7"/>
        <v>4.8540000000000001</v>
      </c>
      <c r="AA32" s="151">
        <f t="shared" si="8"/>
        <v>4.8540000000000001</v>
      </c>
      <c r="AE32" s="27"/>
    </row>
    <row r="33" spans="1:31" s="9" customFormat="1" x14ac:dyDescent="0.2">
      <c r="A33" s="55">
        <f t="shared" si="10"/>
        <v>22</v>
      </c>
      <c r="B33" s="148">
        <v>500</v>
      </c>
      <c r="C33" s="57"/>
      <c r="D33" s="58"/>
      <c r="E33" s="147">
        <v>160</v>
      </c>
      <c r="F33" s="58">
        <f t="shared" si="5"/>
        <v>73194.939994682805</v>
      </c>
      <c r="G33" s="59">
        <f t="shared" si="0"/>
        <v>2.286394644983749E-2</v>
      </c>
      <c r="H33" s="59">
        <f t="shared" si="1"/>
        <v>2.286394644983749E-2</v>
      </c>
      <c r="I33" s="59">
        <f t="shared" si="2"/>
        <v>2.286394644983749E-2</v>
      </c>
      <c r="J33" s="150">
        <v>5.21</v>
      </c>
      <c r="K33" s="149">
        <f t="shared" si="12"/>
        <v>4.1049110459213054</v>
      </c>
      <c r="L33" s="61">
        <f t="shared" si="3"/>
        <v>21.386586549250001</v>
      </c>
      <c r="M33" s="60">
        <f t="shared" si="4"/>
        <v>6.9077724619981895</v>
      </c>
      <c r="N33" s="62"/>
      <c r="O33" s="58"/>
      <c r="P33" s="58"/>
      <c r="Q33" s="147"/>
      <c r="R33" s="58"/>
      <c r="S33" s="147"/>
      <c r="T33" s="58"/>
      <c r="U33" s="147"/>
      <c r="V33" s="147"/>
      <c r="W33" s="68">
        <f t="shared" si="9"/>
        <v>0</v>
      </c>
      <c r="X33" s="63"/>
      <c r="Y33" s="4">
        <f t="shared" si="6"/>
        <v>0</v>
      </c>
      <c r="Z33" s="64">
        <f t="shared" si="7"/>
        <v>0</v>
      </c>
      <c r="AA33" s="151">
        <f t="shared" si="8"/>
        <v>21.386586549250001</v>
      </c>
      <c r="AE33" s="27"/>
    </row>
    <row r="34" spans="1:31" s="9" customFormat="1" x14ac:dyDescent="0.2">
      <c r="A34" s="55">
        <f t="shared" si="10"/>
        <v>23</v>
      </c>
      <c r="B34" s="148">
        <v>500</v>
      </c>
      <c r="C34" s="57"/>
      <c r="D34" s="58"/>
      <c r="E34" s="147">
        <v>160</v>
      </c>
      <c r="F34" s="58">
        <f t="shared" si="5"/>
        <v>73218.543046357634</v>
      </c>
      <c r="G34" s="59">
        <f t="shared" si="0"/>
        <v>2.2863029262126338E-2</v>
      </c>
      <c r="H34" s="59">
        <f t="shared" si="1"/>
        <v>2.2863029262126338E-2</v>
      </c>
      <c r="I34" s="59">
        <f t="shared" si="2"/>
        <v>2.2863029262126338E-2</v>
      </c>
      <c r="J34" s="150"/>
      <c r="K34" s="149"/>
      <c r="L34" s="61"/>
      <c r="M34" s="60">
        <v>6.91</v>
      </c>
      <c r="N34" s="62">
        <v>28.73</v>
      </c>
      <c r="O34" s="58"/>
      <c r="P34" s="58"/>
      <c r="Q34" s="147">
        <v>1</v>
      </c>
      <c r="R34" s="58"/>
      <c r="S34" s="147"/>
      <c r="T34" s="58"/>
      <c r="U34" s="147"/>
      <c r="V34" s="147"/>
      <c r="W34" s="68">
        <f t="shared" si="9"/>
        <v>0.5</v>
      </c>
      <c r="X34" s="63" t="s">
        <v>90</v>
      </c>
      <c r="Y34" s="4">
        <f t="shared" si="6"/>
        <v>0.5</v>
      </c>
      <c r="Z34" s="64">
        <f t="shared" si="7"/>
        <v>14.865</v>
      </c>
      <c r="AA34" s="151">
        <f t="shared" si="8"/>
        <v>14.865</v>
      </c>
      <c r="AE34" s="27"/>
    </row>
    <row r="35" spans="1:31" s="9" customFormat="1" x14ac:dyDescent="0.2">
      <c r="A35" s="55">
        <f t="shared" si="10"/>
        <v>24</v>
      </c>
      <c r="B35" s="148">
        <v>500</v>
      </c>
      <c r="C35" s="57"/>
      <c r="D35" s="58"/>
      <c r="E35" s="147">
        <v>160</v>
      </c>
      <c r="F35" s="58">
        <f t="shared" si="5"/>
        <v>73194.939994682805</v>
      </c>
      <c r="G35" s="59">
        <f t="shared" si="0"/>
        <v>2.286394644983749E-2</v>
      </c>
      <c r="H35" s="59">
        <f t="shared" si="1"/>
        <v>2.286394644983749E-2</v>
      </c>
      <c r="I35" s="59">
        <f t="shared" si="2"/>
        <v>2.286394644983749E-2</v>
      </c>
      <c r="J35" s="150">
        <v>1.52</v>
      </c>
      <c r="K35" s="149">
        <f>I35/(E35/1000)*$O$3*M35*M35/2</f>
        <v>4.1049110459213054</v>
      </c>
      <c r="L35" s="61">
        <f t="shared" si="3"/>
        <v>6.2394647898003841</v>
      </c>
      <c r="M35" s="60">
        <f t="shared" si="4"/>
        <v>6.9077724619981895</v>
      </c>
      <c r="N35" s="62"/>
      <c r="O35" s="58"/>
      <c r="P35" s="58"/>
      <c r="Q35" s="147"/>
      <c r="R35" s="58"/>
      <c r="S35" s="147"/>
      <c r="T35" s="58"/>
      <c r="U35" s="147"/>
      <c r="V35" s="147"/>
      <c r="W35" s="68">
        <f t="shared" si="9"/>
        <v>0</v>
      </c>
      <c r="X35" s="63"/>
      <c r="Y35" s="4">
        <f t="shared" si="6"/>
        <v>0</v>
      </c>
      <c r="Z35" s="64">
        <f t="shared" si="7"/>
        <v>0</v>
      </c>
      <c r="AA35" s="151">
        <f t="shared" si="8"/>
        <v>6.2394647898003841</v>
      </c>
      <c r="AE35" s="27"/>
    </row>
    <row r="36" spans="1:31" s="9" customFormat="1" x14ac:dyDescent="0.2">
      <c r="A36" s="55">
        <f t="shared" si="10"/>
        <v>25</v>
      </c>
      <c r="B36" s="148">
        <v>500</v>
      </c>
      <c r="C36" s="57"/>
      <c r="D36" s="58"/>
      <c r="E36" s="147">
        <v>160</v>
      </c>
      <c r="F36" s="58">
        <f t="shared" si="5"/>
        <v>73218.543046357634</v>
      </c>
      <c r="G36" s="59">
        <f t="shared" si="0"/>
        <v>2.2863029262126338E-2</v>
      </c>
      <c r="H36" s="59">
        <f t="shared" si="1"/>
        <v>2.2863029262126338E-2</v>
      </c>
      <c r="I36" s="59">
        <f t="shared" si="2"/>
        <v>2.2863029262126338E-2</v>
      </c>
      <c r="J36" s="150"/>
      <c r="K36" s="149"/>
      <c r="L36" s="61"/>
      <c r="M36" s="60">
        <v>6.91</v>
      </c>
      <c r="N36" s="62">
        <v>28.725826872817795</v>
      </c>
      <c r="O36" s="58"/>
      <c r="P36" s="58"/>
      <c r="Q36" s="147">
        <v>1</v>
      </c>
      <c r="R36" s="58"/>
      <c r="S36" s="147"/>
      <c r="T36" s="58"/>
      <c r="U36" s="147"/>
      <c r="V36" s="147"/>
      <c r="W36" s="68">
        <f t="shared" si="9"/>
        <v>0.5</v>
      </c>
      <c r="X36" s="63" t="s">
        <v>90</v>
      </c>
      <c r="Y36" s="4">
        <f t="shared" si="6"/>
        <v>0.5</v>
      </c>
      <c r="Z36" s="64">
        <f t="shared" si="7"/>
        <v>14.862913436408897</v>
      </c>
      <c r="AA36" s="151">
        <f t="shared" si="8"/>
        <v>14.862913436408897</v>
      </c>
      <c r="AE36" s="27"/>
    </row>
    <row r="37" spans="1:31" s="9" customFormat="1" x14ac:dyDescent="0.2">
      <c r="A37" s="55">
        <f t="shared" si="10"/>
        <v>26</v>
      </c>
      <c r="B37" s="148">
        <v>500</v>
      </c>
      <c r="C37" s="57"/>
      <c r="D37" s="58"/>
      <c r="E37" s="147">
        <v>160</v>
      </c>
      <c r="F37" s="58">
        <f t="shared" si="5"/>
        <v>73218.543046357634</v>
      </c>
      <c r="G37" s="59">
        <f t="shared" si="0"/>
        <v>2.2863029262126338E-2</v>
      </c>
      <c r="H37" s="59">
        <f t="shared" si="1"/>
        <v>2.2863029262126338E-2</v>
      </c>
      <c r="I37" s="59">
        <f t="shared" si="2"/>
        <v>2.2863029262126338E-2</v>
      </c>
      <c r="J37" s="150"/>
      <c r="K37" s="149"/>
      <c r="L37" s="61"/>
      <c r="M37" s="60">
        <v>6.91</v>
      </c>
      <c r="N37" s="62">
        <v>28.725826872817795</v>
      </c>
      <c r="O37" s="58"/>
      <c r="P37" s="58"/>
      <c r="Q37" s="147">
        <v>1</v>
      </c>
      <c r="R37" s="58"/>
      <c r="S37" s="147"/>
      <c r="T37" s="58"/>
      <c r="U37" s="147"/>
      <c r="V37" s="147"/>
      <c r="W37" s="68">
        <f t="shared" si="9"/>
        <v>0.5</v>
      </c>
      <c r="X37" s="63" t="s">
        <v>90</v>
      </c>
      <c r="Y37" s="4">
        <f t="shared" si="6"/>
        <v>0.5</v>
      </c>
      <c r="Z37" s="64">
        <f t="shared" si="7"/>
        <v>14.862913436408897</v>
      </c>
      <c r="AA37" s="151">
        <f t="shared" si="8"/>
        <v>14.862913436408897</v>
      </c>
      <c r="AE37" s="27"/>
    </row>
    <row r="38" spans="1:31" s="9" customFormat="1" x14ac:dyDescent="0.2">
      <c r="A38" s="55">
        <f t="shared" si="10"/>
        <v>27</v>
      </c>
      <c r="B38" s="148">
        <v>500</v>
      </c>
      <c r="C38" s="57"/>
      <c r="D38" s="58"/>
      <c r="E38" s="147">
        <v>160</v>
      </c>
      <c r="F38" s="58">
        <f t="shared" si="5"/>
        <v>73218.543046357634</v>
      </c>
      <c r="G38" s="59">
        <f t="shared" si="0"/>
        <v>2.2863029262126338E-2</v>
      </c>
      <c r="H38" s="59">
        <f t="shared" si="1"/>
        <v>2.2863029262126338E-2</v>
      </c>
      <c r="I38" s="59">
        <f t="shared" si="2"/>
        <v>2.2863029262126338E-2</v>
      </c>
      <c r="J38" s="150"/>
      <c r="K38" s="149"/>
      <c r="L38" s="61"/>
      <c r="M38" s="60">
        <v>6.91</v>
      </c>
      <c r="N38" s="62">
        <v>28.725826872817795</v>
      </c>
      <c r="O38" s="58"/>
      <c r="P38" s="58"/>
      <c r="Q38" s="147"/>
      <c r="R38" s="58"/>
      <c r="S38" s="147"/>
      <c r="T38" s="58"/>
      <c r="U38" s="147">
        <v>1</v>
      </c>
      <c r="V38" s="147"/>
      <c r="W38" s="68">
        <f t="shared" si="9"/>
        <v>0.2</v>
      </c>
      <c r="X38" s="63" t="s">
        <v>89</v>
      </c>
      <c r="Y38" s="4">
        <f t="shared" si="6"/>
        <v>0.2</v>
      </c>
      <c r="Z38" s="64">
        <f t="shared" si="7"/>
        <v>5.9451653745635591</v>
      </c>
      <c r="AA38" s="151">
        <f t="shared" si="8"/>
        <v>5.9451653745635591</v>
      </c>
      <c r="AE38" s="27"/>
    </row>
    <row r="39" spans="1:31" s="9" customFormat="1" x14ac:dyDescent="0.2">
      <c r="A39" s="55">
        <f t="shared" si="10"/>
        <v>28</v>
      </c>
      <c r="B39" s="148">
        <v>550</v>
      </c>
      <c r="C39" s="57"/>
      <c r="D39" s="58"/>
      <c r="E39" s="147">
        <v>160</v>
      </c>
      <c r="F39" s="58">
        <f t="shared" si="5"/>
        <v>80514.433994151084</v>
      </c>
      <c r="G39" s="59">
        <f t="shared" si="0"/>
        <v>2.2600800295604503E-2</v>
      </c>
      <c r="H39" s="59">
        <f t="shared" si="1"/>
        <v>2.2600800295604503E-2</v>
      </c>
      <c r="I39" s="59">
        <f t="shared" si="2"/>
        <v>2.2600800295604503E-2</v>
      </c>
      <c r="J39" s="150">
        <v>2.2000000000000002</v>
      </c>
      <c r="K39" s="149">
        <f>I39/(E39/1000)*$O$3*M39*M39/2</f>
        <v>4.9097767408698987</v>
      </c>
      <c r="L39" s="61">
        <f>J39*K39</f>
        <v>10.801508829913779</v>
      </c>
      <c r="M39" s="60">
        <f t="shared" si="4"/>
        <v>7.5985497081980089</v>
      </c>
      <c r="N39" s="62"/>
      <c r="O39" s="58"/>
      <c r="P39" s="58"/>
      <c r="Q39" s="147"/>
      <c r="R39" s="58"/>
      <c r="S39" s="147"/>
      <c r="T39" s="58"/>
      <c r="U39" s="147"/>
      <c r="V39" s="147"/>
      <c r="W39" s="68">
        <f t="shared" si="9"/>
        <v>0</v>
      </c>
      <c r="X39" s="63"/>
      <c r="Y39" s="4">
        <f t="shared" si="6"/>
        <v>0</v>
      </c>
      <c r="Z39" s="64">
        <f t="shared" si="7"/>
        <v>0</v>
      </c>
      <c r="AA39" s="151">
        <f t="shared" si="8"/>
        <v>10.801508829913779</v>
      </c>
      <c r="AE39" s="27"/>
    </row>
    <row r="40" spans="1:31" s="66" customFormat="1" x14ac:dyDescent="0.2">
      <c r="A40" s="79"/>
      <c r="B40" s="80"/>
      <c r="C40" s="80"/>
      <c r="D40" s="81"/>
      <c r="E40" s="82"/>
      <c r="F40" s="83"/>
      <c r="G40" s="82"/>
      <c r="H40" s="82"/>
      <c r="I40" s="82"/>
      <c r="J40" s="82"/>
      <c r="K40" s="82"/>
      <c r="L40" s="82"/>
      <c r="M40" s="84"/>
      <c r="N40" s="82"/>
      <c r="O40" s="85"/>
      <c r="P40" s="82"/>
      <c r="Q40" s="82"/>
      <c r="R40" s="82"/>
      <c r="S40" s="82"/>
      <c r="T40" s="82"/>
      <c r="U40" s="82"/>
      <c r="V40" s="82"/>
      <c r="W40" s="82"/>
      <c r="X40" s="82"/>
      <c r="Y40" s="83"/>
      <c r="Z40" s="85"/>
      <c r="AA40" s="144"/>
      <c r="AE40" s="67"/>
    </row>
    <row r="41" spans="1:31" s="66" customFormat="1" x14ac:dyDescent="0.2">
      <c r="A41" s="55"/>
      <c r="B41" s="56"/>
      <c r="C41" s="57"/>
      <c r="D41" s="58"/>
      <c r="E41" s="58"/>
      <c r="F41" s="58"/>
      <c r="G41" s="59"/>
      <c r="H41" s="59"/>
      <c r="I41" s="59"/>
      <c r="J41" s="58"/>
      <c r="K41" s="60"/>
      <c r="L41" s="61"/>
      <c r="M41" s="60"/>
      <c r="N41" s="62"/>
      <c r="O41" s="58"/>
      <c r="P41" s="58"/>
      <c r="Q41" s="58"/>
      <c r="R41" s="58"/>
      <c r="S41" s="58"/>
      <c r="T41" s="58"/>
      <c r="U41" s="58"/>
      <c r="V41" s="58"/>
      <c r="W41" s="58"/>
      <c r="X41" s="63"/>
      <c r="Y41" s="62"/>
      <c r="Z41" s="64"/>
      <c r="AA41" s="65"/>
      <c r="AE41" s="67"/>
    </row>
    <row r="42" spans="1:31" s="66" customFormat="1" x14ac:dyDescent="0.2">
      <c r="A42" s="55"/>
      <c r="B42" s="56"/>
      <c r="C42" s="57"/>
      <c r="D42" s="58"/>
      <c r="E42" s="58"/>
      <c r="F42" s="58"/>
      <c r="G42" s="59"/>
      <c r="H42" s="59"/>
      <c r="I42" s="59"/>
      <c r="J42" s="58"/>
      <c r="K42" s="60"/>
      <c r="L42" s="61"/>
      <c r="M42" s="60"/>
      <c r="N42" s="62"/>
      <c r="O42" s="58"/>
      <c r="P42" s="58"/>
      <c r="Q42" s="58"/>
      <c r="R42" s="58"/>
      <c r="S42" s="58"/>
      <c r="T42" s="58"/>
      <c r="U42" s="58"/>
      <c r="V42" s="58"/>
      <c r="W42" s="58"/>
      <c r="X42" s="63"/>
      <c r="Y42" s="62"/>
      <c r="Z42" s="64"/>
      <c r="AA42" s="65"/>
      <c r="AE42" s="67"/>
    </row>
    <row r="43" spans="1:31" s="66" customFormat="1" ht="13.5" thickBot="1" x14ac:dyDescent="0.25">
      <c r="A43" s="55"/>
      <c r="B43" s="56"/>
      <c r="C43" s="57"/>
      <c r="D43" s="58"/>
      <c r="E43" s="58"/>
      <c r="F43" s="58"/>
      <c r="G43" s="59"/>
      <c r="H43" s="59"/>
      <c r="I43" s="59"/>
      <c r="J43" s="58"/>
      <c r="K43" s="60"/>
      <c r="L43" s="61"/>
      <c r="M43" s="60"/>
      <c r="N43" s="62"/>
      <c r="O43" s="58"/>
      <c r="P43" s="58"/>
      <c r="Q43" s="58"/>
      <c r="R43" s="58"/>
      <c r="S43" s="58"/>
      <c r="T43" s="58"/>
      <c r="U43" s="58"/>
      <c r="V43" s="58"/>
      <c r="W43" s="58"/>
      <c r="X43" s="63"/>
      <c r="Y43" s="62"/>
      <c r="Z43" s="64"/>
      <c r="AA43" s="65"/>
      <c r="AE43" s="67"/>
    </row>
    <row r="44" spans="1:31" s="66" customFormat="1" ht="13.5" thickBot="1" x14ac:dyDescent="0.25">
      <c r="A44" s="55"/>
      <c r="B44" s="56"/>
      <c r="C44" s="57"/>
      <c r="D44" s="58"/>
      <c r="E44" s="58"/>
      <c r="F44" s="68"/>
      <c r="G44" s="59"/>
      <c r="H44" s="59"/>
      <c r="I44" s="59"/>
      <c r="J44" s="68"/>
      <c r="K44" s="60"/>
      <c r="L44" s="61"/>
      <c r="M44" s="60"/>
      <c r="N44" s="62"/>
      <c r="O44" s="58"/>
      <c r="P44" s="58"/>
      <c r="Q44" s="58"/>
      <c r="R44" s="58"/>
      <c r="S44" s="58"/>
      <c r="T44" s="58"/>
      <c r="U44" s="58"/>
      <c r="V44" s="58"/>
      <c r="W44" s="58"/>
      <c r="X44" s="63"/>
      <c r="Y44" s="62"/>
      <c r="Z44" s="95"/>
      <c r="AA44" s="96">
        <f>SUM(AA12:AA43)</f>
        <v>174.01542176062316</v>
      </c>
      <c r="AE44" s="67"/>
    </row>
    <row r="45" spans="1:31" s="66" customFormat="1" ht="13.5" thickBot="1" x14ac:dyDescent="0.25">
      <c r="A45" s="55"/>
      <c r="B45" s="56"/>
      <c r="C45" s="57"/>
      <c r="D45" s="58"/>
      <c r="E45" s="58"/>
      <c r="F45" s="58"/>
      <c r="G45" s="59"/>
      <c r="H45" s="59"/>
      <c r="I45" s="59"/>
      <c r="J45" s="58"/>
      <c r="K45" s="60"/>
      <c r="L45" s="61"/>
      <c r="M45" s="60"/>
      <c r="N45" s="62"/>
      <c r="O45" s="58"/>
      <c r="P45" s="58"/>
      <c r="Q45" s="58"/>
      <c r="R45" s="58"/>
      <c r="S45" s="58"/>
      <c r="T45" s="58"/>
      <c r="U45" s="58"/>
      <c r="V45" s="58"/>
      <c r="W45" s="58"/>
      <c r="X45" s="69"/>
      <c r="Y45" s="62"/>
      <c r="Z45" s="64"/>
      <c r="AA45" s="65"/>
      <c r="AE45" s="67"/>
    </row>
    <row r="46" spans="1:31" s="2" customFormat="1" x14ac:dyDescent="0.2">
      <c r="A46" s="98"/>
      <c r="B46" s="99"/>
      <c r="C46" s="100"/>
      <c r="D46" s="100"/>
      <c r="E46" s="100"/>
      <c r="F46" s="101"/>
      <c r="G46" s="101"/>
      <c r="H46" s="101"/>
      <c r="I46" s="101"/>
      <c r="J46" s="101"/>
      <c r="K46" s="101"/>
      <c r="L46" s="101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3"/>
      <c r="Z46" s="104"/>
      <c r="AA46" s="105"/>
    </row>
    <row r="47" spans="1:31" s="2" customFormat="1" x14ac:dyDescent="0.2">
      <c r="A47" s="24"/>
      <c r="B47" s="29"/>
      <c r="C47" s="30"/>
      <c r="D47" s="30"/>
      <c r="E47" s="30"/>
      <c r="F47" s="6"/>
      <c r="G47" s="6"/>
      <c r="H47" s="6"/>
      <c r="I47" s="6"/>
      <c r="J47" s="6"/>
      <c r="K47" s="6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26"/>
      <c r="Z47" s="26"/>
      <c r="AA47" s="106">
        <f>AA44*1.2</f>
        <v>208.81850611274777</v>
      </c>
    </row>
    <row r="48" spans="1:31" s="2" customFormat="1" x14ac:dyDescent="0.2">
      <c r="A48" s="31"/>
      <c r="B48" s="32"/>
      <c r="C48" s="77"/>
      <c r="D48" s="77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 t="s">
        <v>79</v>
      </c>
      <c r="R48" s="33"/>
      <c r="S48" s="97">
        <f>AA44</f>
        <v>174.01542176062316</v>
      </c>
      <c r="T48" s="33"/>
      <c r="U48" s="33" t="s">
        <v>21</v>
      </c>
      <c r="V48" s="145">
        <f>B13</f>
        <v>50</v>
      </c>
      <c r="W48" s="33" t="s">
        <v>14</v>
      </c>
      <c r="X48" s="33"/>
      <c r="Y48" s="33"/>
      <c r="Z48" s="33"/>
      <c r="AA48" s="34"/>
    </row>
    <row r="49" spans="1:27" s="2" customFormat="1" x14ac:dyDescent="0.2">
      <c r="A49" s="31"/>
      <c r="B49" s="32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97"/>
      <c r="T49" s="33"/>
      <c r="U49" s="33"/>
      <c r="V49" s="33"/>
      <c r="W49" s="33"/>
      <c r="X49" s="33"/>
      <c r="Y49" s="33"/>
      <c r="Z49" s="33"/>
      <c r="AA49" s="34"/>
    </row>
    <row r="50" spans="1:27" s="2" customFormat="1" ht="13.5" thickBot="1" x14ac:dyDescent="0.25">
      <c r="A50" s="35"/>
      <c r="B50" s="36"/>
      <c r="C50" s="37"/>
      <c r="D50" s="37"/>
      <c r="E50" s="37"/>
      <c r="F50" s="38"/>
      <c r="G50" s="38"/>
      <c r="H50" s="38"/>
      <c r="I50" s="38"/>
      <c r="J50" s="38"/>
      <c r="K50" s="38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40"/>
      <c r="Z50" s="40"/>
      <c r="AA50" s="107"/>
    </row>
  </sheetData>
  <mergeCells count="4">
    <mergeCell ref="J4:N4"/>
    <mergeCell ref="O4:X4"/>
    <mergeCell ref="C5:E5"/>
    <mergeCell ref="C6:E6"/>
  </mergeCells>
  <pageMargins left="0.7" right="0.7" top="0.75" bottom="0.75" header="0.3" footer="0.3"/>
  <pageSetup paperSize="9" scale="58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E0B7-601F-4887-8949-E9950EEF0561}">
  <sheetPr>
    <pageSetUpPr fitToPage="1"/>
  </sheetPr>
  <dimension ref="A1:CK55"/>
  <sheetViews>
    <sheetView zoomScale="115" zoomScaleNormal="115" workbookViewId="0">
      <selection activeCell="C47" sqref="C47"/>
    </sheetView>
  </sheetViews>
  <sheetFormatPr baseColWidth="10" defaultRowHeight="12.75" x14ac:dyDescent="0.2"/>
  <cols>
    <col min="1" max="1" width="15.5703125" style="7" bestFit="1" customWidth="1"/>
    <col min="2" max="2" width="10.5703125" style="41" bestFit="1" customWidth="1"/>
    <col min="3" max="3" width="7.7109375" style="7" customWidth="1"/>
    <col min="4" max="4" width="7.85546875" style="7" customWidth="1"/>
    <col min="5" max="5" width="9.7109375" style="7" customWidth="1"/>
    <col min="6" max="6" width="12.85546875" style="7" hidden="1" customWidth="1"/>
    <col min="7" max="9" width="17.28515625" style="7" hidden="1" customWidth="1"/>
    <col min="10" max="10" width="9.28515625" style="5" customWidth="1"/>
    <col min="11" max="11" width="12.85546875" style="7" customWidth="1"/>
    <col min="12" max="12" width="9.28515625" style="5" customWidth="1"/>
    <col min="13" max="13" width="9.140625" style="5" customWidth="1"/>
    <col min="14" max="14" width="10.5703125" style="5" customWidth="1"/>
    <col min="15" max="15" width="10.42578125" style="5" customWidth="1"/>
    <col min="16" max="17" width="8.42578125" style="5" bestFit="1" customWidth="1"/>
    <col min="18" max="18" width="6" style="5" bestFit="1" customWidth="1"/>
    <col min="19" max="19" width="8.5703125" style="5" customWidth="1"/>
    <col min="20" max="20" width="10.140625" style="5" customWidth="1"/>
    <col min="21" max="23" width="9" style="5" bestFit="1" customWidth="1"/>
    <col min="24" max="24" width="30.28515625" style="5" bestFit="1" customWidth="1"/>
    <col min="25" max="25" width="9" style="7" customWidth="1"/>
    <col min="26" max="26" width="10.140625" style="7" bestFit="1" customWidth="1"/>
    <col min="27" max="27" width="9.42578125" style="42" bestFit="1" customWidth="1"/>
    <col min="28" max="28" width="5.28515625" style="7" customWidth="1"/>
    <col min="29" max="29" width="6.140625" style="7" hidden="1" customWidth="1"/>
    <col min="30" max="30" width="5.5703125" style="7" hidden="1" customWidth="1"/>
    <col min="31" max="32" width="8" style="7" hidden="1" customWidth="1"/>
    <col min="33" max="33" width="12.42578125" style="7" bestFit="1" customWidth="1"/>
    <col min="34" max="16384" width="11.42578125" style="7"/>
  </cols>
  <sheetData>
    <row r="1" spans="1:89" ht="18" customHeight="1" x14ac:dyDescent="0.2">
      <c r="A1" s="43" t="s">
        <v>83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72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</row>
    <row r="2" spans="1:89" ht="18" customHeight="1" thickBot="1" x14ac:dyDescent="0.25">
      <c r="A2" s="140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2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</row>
    <row r="3" spans="1:89" ht="24" thickBot="1" x14ac:dyDescent="0.25">
      <c r="A3" s="131" t="s">
        <v>32</v>
      </c>
      <c r="B3" s="132">
        <v>1.5099999999999999E-5</v>
      </c>
      <c r="C3" s="133" t="s">
        <v>31</v>
      </c>
      <c r="D3" s="44"/>
      <c r="E3" s="44"/>
      <c r="F3" s="44"/>
      <c r="G3" s="44"/>
      <c r="H3" s="44"/>
      <c r="I3" s="44"/>
      <c r="J3" s="134"/>
      <c r="K3" s="135" t="s">
        <v>33</v>
      </c>
      <c r="L3" s="136">
        <f>0.15/1000</f>
        <v>1.4999999999999999E-4</v>
      </c>
      <c r="M3" s="137" t="s">
        <v>17</v>
      </c>
      <c r="N3" s="138" t="s">
        <v>34</v>
      </c>
      <c r="O3" s="136">
        <v>1.204</v>
      </c>
      <c r="P3" s="139" t="s">
        <v>35</v>
      </c>
      <c r="Q3" s="52"/>
      <c r="R3" s="53"/>
      <c r="S3" s="53"/>
      <c r="T3" s="53"/>
      <c r="U3" s="53"/>
      <c r="V3" s="53"/>
      <c r="W3" s="53"/>
      <c r="X3" s="53"/>
      <c r="Y3" s="108"/>
      <c r="Z3" s="108"/>
      <c r="AA3" s="10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</row>
    <row r="4" spans="1:89" ht="16.5" thickBot="1" x14ac:dyDescent="0.25">
      <c r="A4" s="126"/>
      <c r="B4" s="127"/>
      <c r="C4" s="128"/>
      <c r="D4" s="128"/>
      <c r="E4" s="128"/>
      <c r="F4" s="129"/>
      <c r="G4" s="128"/>
      <c r="H4" s="128"/>
      <c r="I4" s="128"/>
      <c r="J4" s="152" t="s">
        <v>88</v>
      </c>
      <c r="K4" s="153"/>
      <c r="L4" s="153"/>
      <c r="M4" s="153"/>
      <c r="N4" s="154"/>
      <c r="O4" s="153" t="s">
        <v>87</v>
      </c>
      <c r="P4" s="153"/>
      <c r="Q4" s="153"/>
      <c r="R4" s="153"/>
      <c r="S4" s="153"/>
      <c r="T4" s="153"/>
      <c r="U4" s="153"/>
      <c r="V4" s="153"/>
      <c r="W4" s="153"/>
      <c r="X4" s="155"/>
      <c r="Y4" s="130"/>
      <c r="Z4" s="109"/>
      <c r="AA4" s="110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</row>
    <row r="5" spans="1:89" s="2" customFormat="1" x14ac:dyDescent="0.2">
      <c r="A5" s="71" t="s">
        <v>1</v>
      </c>
      <c r="B5" s="19" t="s">
        <v>1</v>
      </c>
      <c r="C5" s="156"/>
      <c r="D5" s="157"/>
      <c r="E5" s="158"/>
      <c r="F5" s="10"/>
      <c r="G5" s="10"/>
      <c r="H5" s="10"/>
      <c r="I5" s="10"/>
      <c r="J5" s="10" t="s">
        <v>2</v>
      </c>
      <c r="K5" s="10"/>
      <c r="L5" s="10" t="s">
        <v>1</v>
      </c>
      <c r="M5" s="15" t="s">
        <v>1</v>
      </c>
      <c r="N5" s="8" t="s">
        <v>3</v>
      </c>
      <c r="O5" s="10" t="s">
        <v>38</v>
      </c>
      <c r="P5" s="10" t="s">
        <v>38</v>
      </c>
      <c r="Q5" s="10" t="s">
        <v>38</v>
      </c>
      <c r="R5" s="10" t="s">
        <v>38</v>
      </c>
      <c r="S5" s="10" t="s">
        <v>42</v>
      </c>
      <c r="T5" s="10" t="s">
        <v>43</v>
      </c>
      <c r="U5" s="10" t="s">
        <v>45</v>
      </c>
      <c r="V5" s="10" t="s">
        <v>45</v>
      </c>
      <c r="W5" s="10"/>
      <c r="X5" s="10" t="s">
        <v>2</v>
      </c>
      <c r="Y5" s="15" t="s">
        <v>2</v>
      </c>
      <c r="Z5" s="46" t="s">
        <v>2</v>
      </c>
      <c r="AA5" s="73" t="s">
        <v>0</v>
      </c>
    </row>
    <row r="6" spans="1:89" s="2" customFormat="1" ht="18" x14ac:dyDescent="0.2">
      <c r="A6" s="71" t="s">
        <v>5</v>
      </c>
      <c r="B6" s="16" t="s">
        <v>6</v>
      </c>
      <c r="C6" s="159" t="s">
        <v>20</v>
      </c>
      <c r="D6" s="160"/>
      <c r="E6" s="161"/>
      <c r="F6" s="10" t="s">
        <v>29</v>
      </c>
      <c r="G6" s="10" t="s">
        <v>36</v>
      </c>
      <c r="H6" s="10" t="s">
        <v>36</v>
      </c>
      <c r="I6" s="10" t="s">
        <v>30</v>
      </c>
      <c r="J6" s="10" t="s">
        <v>7</v>
      </c>
      <c r="K6" s="10" t="s">
        <v>8</v>
      </c>
      <c r="L6" s="10" t="s">
        <v>9</v>
      </c>
      <c r="M6" s="15" t="s">
        <v>10</v>
      </c>
      <c r="N6" s="8" t="s">
        <v>11</v>
      </c>
      <c r="O6" s="10" t="s">
        <v>50</v>
      </c>
      <c r="P6" s="10" t="s">
        <v>50</v>
      </c>
      <c r="Q6" s="10" t="s">
        <v>39</v>
      </c>
      <c r="R6" s="10" t="s">
        <v>39</v>
      </c>
      <c r="S6" s="10"/>
      <c r="T6" s="10" t="s">
        <v>44</v>
      </c>
      <c r="U6" s="10" t="s">
        <v>47</v>
      </c>
      <c r="V6" s="10" t="s">
        <v>48</v>
      </c>
      <c r="W6" s="10" t="s">
        <v>56</v>
      </c>
      <c r="X6" s="10" t="s">
        <v>12</v>
      </c>
      <c r="Y6" s="13" t="s">
        <v>53</v>
      </c>
      <c r="Z6" s="12" t="s">
        <v>52</v>
      </c>
      <c r="AA6" s="74" t="s">
        <v>4</v>
      </c>
    </row>
    <row r="7" spans="1:89" s="2" customFormat="1" x14ac:dyDescent="0.2">
      <c r="A7" s="71" t="s">
        <v>1</v>
      </c>
      <c r="B7" s="16"/>
      <c r="C7" s="22" t="s">
        <v>15</v>
      </c>
      <c r="D7" s="20" t="s">
        <v>16</v>
      </c>
      <c r="E7" s="23" t="s">
        <v>37</v>
      </c>
      <c r="F7" s="10"/>
      <c r="G7" s="10"/>
      <c r="H7" s="10"/>
      <c r="I7" s="10"/>
      <c r="J7" s="10"/>
      <c r="K7" s="10"/>
      <c r="L7" s="10"/>
      <c r="M7" s="15"/>
      <c r="N7" s="8" t="s">
        <v>21</v>
      </c>
      <c r="O7" s="11" t="s">
        <v>41</v>
      </c>
      <c r="P7" s="11" t="s">
        <v>40</v>
      </c>
      <c r="Q7" s="11" t="s">
        <v>41</v>
      </c>
      <c r="R7" s="11" t="s">
        <v>40</v>
      </c>
      <c r="S7" s="11"/>
      <c r="T7" s="11"/>
      <c r="U7" s="11"/>
      <c r="V7" s="10"/>
      <c r="W7" s="10"/>
      <c r="X7" s="10" t="s">
        <v>2</v>
      </c>
      <c r="Y7" s="15" t="s">
        <v>2</v>
      </c>
      <c r="Z7" s="21"/>
      <c r="AA7" s="74" t="s">
        <v>13</v>
      </c>
    </row>
    <row r="8" spans="1:89" s="2" customFormat="1" ht="18" x14ac:dyDescent="0.2">
      <c r="A8" s="71" t="s">
        <v>1</v>
      </c>
      <c r="B8" s="19" t="s">
        <v>1</v>
      </c>
      <c r="C8" s="17"/>
      <c r="D8" s="10"/>
      <c r="E8" s="14"/>
      <c r="F8" s="10"/>
      <c r="G8" s="10"/>
      <c r="H8" s="10"/>
      <c r="I8" s="10"/>
      <c r="J8" s="10" t="s">
        <v>2</v>
      </c>
      <c r="K8" s="10"/>
      <c r="L8" s="10"/>
      <c r="M8" s="15" t="s">
        <v>1</v>
      </c>
      <c r="N8" s="12" t="s">
        <v>51</v>
      </c>
      <c r="O8" s="12" t="s">
        <v>46</v>
      </c>
      <c r="P8" s="12" t="s">
        <v>46</v>
      </c>
      <c r="Q8" s="12" t="s">
        <v>46</v>
      </c>
      <c r="R8" s="12" t="s">
        <v>46</v>
      </c>
      <c r="S8" s="12" t="s">
        <v>46</v>
      </c>
      <c r="T8" s="12" t="s">
        <v>46</v>
      </c>
      <c r="U8" s="12" t="s">
        <v>46</v>
      </c>
      <c r="V8" s="12" t="s">
        <v>46</v>
      </c>
      <c r="W8" s="12"/>
      <c r="X8" s="10" t="s">
        <v>2</v>
      </c>
      <c r="Y8" s="15" t="s">
        <v>2</v>
      </c>
      <c r="Z8" s="21"/>
      <c r="AA8" s="74"/>
    </row>
    <row r="9" spans="1:89" s="2" customFormat="1" ht="18" x14ac:dyDescent="0.2">
      <c r="A9" s="71"/>
      <c r="B9" s="19"/>
      <c r="C9" s="17"/>
      <c r="D9" s="10"/>
      <c r="E9" s="14"/>
      <c r="F9" s="10"/>
      <c r="G9" s="10"/>
      <c r="H9" s="10"/>
      <c r="I9" s="10"/>
      <c r="J9" s="10"/>
      <c r="K9" s="10"/>
      <c r="L9" s="10"/>
      <c r="M9" s="15"/>
      <c r="N9" s="8"/>
      <c r="O9" s="12">
        <v>0.8</v>
      </c>
      <c r="P9" s="12">
        <v>0.5</v>
      </c>
      <c r="Q9" s="12">
        <v>0.5</v>
      </c>
      <c r="R9" s="12">
        <v>0.25</v>
      </c>
      <c r="S9" s="12">
        <v>0.25</v>
      </c>
      <c r="T9" s="12">
        <v>1.5</v>
      </c>
      <c r="U9" s="12">
        <v>0.2</v>
      </c>
      <c r="V9" s="12">
        <v>1.7</v>
      </c>
      <c r="W9" s="12"/>
      <c r="X9" s="10"/>
      <c r="Y9" s="15"/>
      <c r="Z9" s="21"/>
      <c r="AA9" s="74"/>
    </row>
    <row r="10" spans="1:89" s="2" customFormat="1" x14ac:dyDescent="0.2">
      <c r="A10" s="75"/>
      <c r="B10" s="47" t="s">
        <v>14</v>
      </c>
      <c r="C10" s="78" t="s">
        <v>19</v>
      </c>
      <c r="D10" s="25" t="s">
        <v>19</v>
      </c>
      <c r="E10" s="28" t="s">
        <v>19</v>
      </c>
      <c r="F10" s="25"/>
      <c r="G10" s="25"/>
      <c r="H10" s="25"/>
      <c r="I10" s="25"/>
      <c r="J10" s="25" t="s">
        <v>17</v>
      </c>
      <c r="K10" s="25" t="s">
        <v>22</v>
      </c>
      <c r="L10" s="25" t="s">
        <v>21</v>
      </c>
      <c r="M10" s="48" t="s">
        <v>18</v>
      </c>
      <c r="N10" s="49"/>
      <c r="O10" s="25" t="s">
        <v>54</v>
      </c>
      <c r="P10" s="25" t="s">
        <v>54</v>
      </c>
      <c r="Q10" s="25" t="s">
        <v>54</v>
      </c>
      <c r="R10" s="25" t="s">
        <v>54</v>
      </c>
      <c r="S10" s="25" t="s">
        <v>54</v>
      </c>
      <c r="T10" s="25" t="s">
        <v>54</v>
      </c>
      <c r="U10" s="25" t="s">
        <v>54</v>
      </c>
      <c r="V10" s="25" t="s">
        <v>54</v>
      </c>
      <c r="W10" s="25"/>
      <c r="X10" s="45"/>
      <c r="Y10" s="50"/>
      <c r="Z10" s="51" t="s">
        <v>21</v>
      </c>
      <c r="AA10" s="76" t="s">
        <v>21</v>
      </c>
    </row>
    <row r="11" spans="1:89" s="9" customFormat="1" x14ac:dyDescent="0.2">
      <c r="A11" s="143" t="s">
        <v>92</v>
      </c>
      <c r="B11" s="87"/>
      <c r="C11" s="88"/>
      <c r="D11" s="89"/>
      <c r="E11" s="90"/>
      <c r="F11" s="89"/>
      <c r="G11" s="89"/>
      <c r="H11" s="89"/>
      <c r="I11" s="89"/>
      <c r="J11" s="89"/>
      <c r="K11" s="89"/>
      <c r="L11" s="91"/>
      <c r="M11" s="89"/>
      <c r="N11" s="92"/>
      <c r="O11" s="89"/>
      <c r="P11" s="89"/>
      <c r="Q11" s="89"/>
      <c r="R11" s="89"/>
      <c r="S11" s="89"/>
      <c r="T11" s="89"/>
      <c r="U11" s="89"/>
      <c r="V11" s="89"/>
      <c r="W11" s="89"/>
      <c r="X11" s="90"/>
      <c r="Y11" s="92"/>
      <c r="Z11" s="93"/>
      <c r="AA11" s="94"/>
    </row>
    <row r="12" spans="1:89" s="9" customFormat="1" x14ac:dyDescent="0.2">
      <c r="A12" s="55">
        <v>1</v>
      </c>
      <c r="B12" s="148">
        <v>50</v>
      </c>
      <c r="C12" s="57"/>
      <c r="D12" s="58"/>
      <c r="E12" s="147">
        <v>125</v>
      </c>
      <c r="F12" s="58">
        <f>M12*(E12/1000)/$B$3</f>
        <v>9368.9523193193982</v>
      </c>
      <c r="G12" s="59">
        <f t="shared" ref="G12:G44" si="0">IF(F12&lt;2000,64/F12,0.11*POWER((($L$3/(E12/1000))+(68/F12)),0.25))</f>
        <v>3.3358752620497353E-2</v>
      </c>
      <c r="H12" s="59">
        <f t="shared" ref="H12:H44" si="1">IF(G12&lt;0.018,G12*0.85+0.0028,G12)</f>
        <v>3.3358752620497353E-2</v>
      </c>
      <c r="I12" s="59">
        <f t="shared" ref="I12:I44" si="2">IF(F12&lt;2000,G12,H12)</f>
        <v>3.3358752620497353E-2</v>
      </c>
      <c r="J12" s="150"/>
      <c r="K12" s="149">
        <f>I12/(E12/1000)*$O$3*M12*M12/2</f>
        <v>0.20578428539976198</v>
      </c>
      <c r="L12" s="61">
        <f t="shared" ref="L12:L44" si="3">J12*K12</f>
        <v>0</v>
      </c>
      <c r="M12" s="60">
        <f t="shared" ref="M12:M44" si="4">IF(C12=0,B12/3600/3.14159/(E12/1000)/(E12/1000)*4,(B12/3600)/(C12/1000)/(D12/1000))</f>
        <v>1.1317694401737832</v>
      </c>
      <c r="N12" s="62">
        <f>$O$3*M12*M12/2</f>
        <v>0.77110304355818982</v>
      </c>
      <c r="O12" s="58"/>
      <c r="P12" s="58"/>
      <c r="Q12" s="147"/>
      <c r="R12" s="58"/>
      <c r="S12" s="147"/>
      <c r="T12" s="58"/>
      <c r="U12" s="147"/>
      <c r="V12" s="147"/>
      <c r="W12" s="68">
        <v>5</v>
      </c>
      <c r="X12" s="111" t="s">
        <v>93</v>
      </c>
      <c r="Y12" s="4">
        <f>Q12*$Q$9+R12*$R$9+S12*$S$9+T12*$T$9+U12*$U$9+V12*$V$9+O12*$O$9+P12*$P$9</f>
        <v>0</v>
      </c>
      <c r="Z12" s="64">
        <f>N12*Y12+W12</f>
        <v>5</v>
      </c>
      <c r="AA12" s="151">
        <f>L12+Z12</f>
        <v>5</v>
      </c>
      <c r="AE12" s="27"/>
      <c r="AF12" s="9" t="s">
        <v>23</v>
      </c>
    </row>
    <row r="13" spans="1:89" s="9" customFormat="1" x14ac:dyDescent="0.2">
      <c r="A13" s="55">
        <v>2</v>
      </c>
      <c r="B13" s="148">
        <v>50</v>
      </c>
      <c r="C13" s="57"/>
      <c r="D13" s="58"/>
      <c r="E13" s="147">
        <v>125</v>
      </c>
      <c r="F13" s="58">
        <f t="shared" ref="F13:F44" si="5">M13*(E13/1000)/$B$3</f>
        <v>9368.9523193193982</v>
      </c>
      <c r="G13" s="59">
        <f t="shared" si="0"/>
        <v>3.3358752620497353E-2</v>
      </c>
      <c r="H13" s="59">
        <f t="shared" si="1"/>
        <v>3.3358752620497353E-2</v>
      </c>
      <c r="I13" s="59">
        <f t="shared" si="2"/>
        <v>3.3358752620497353E-2</v>
      </c>
      <c r="J13" s="150" t="s">
        <v>94</v>
      </c>
      <c r="K13" s="149">
        <f t="shared" ref="K13:K44" si="6">I13/(E13/1000)*$O$3*M13*M13/2</f>
        <v>0.20578428539976198</v>
      </c>
      <c r="L13" s="61">
        <f t="shared" si="3"/>
        <v>0.13993331407183815</v>
      </c>
      <c r="M13" s="60">
        <f t="shared" si="4"/>
        <v>1.1317694401737832</v>
      </c>
      <c r="N13" s="62">
        <f t="shared" ref="N13:N44" si="7">$O$3*M13*M13/2</f>
        <v>0.77110304355818982</v>
      </c>
      <c r="O13" s="58"/>
      <c r="P13" s="58"/>
      <c r="Q13" s="147"/>
      <c r="R13" s="58"/>
      <c r="S13" s="147"/>
      <c r="T13" s="58"/>
      <c r="U13" s="147"/>
      <c r="V13" s="147"/>
      <c r="W13" s="68">
        <f t="shared" ref="W13:W44" si="8">SUMPRODUCT($O$9:$V$9,O13:V13)</f>
        <v>0</v>
      </c>
      <c r="X13" s="63"/>
      <c r="Y13" s="4">
        <f t="shared" ref="Y13:Y44" si="9">Q13*$Q$9+R13*$R$9+S13*$S$9+T13*$T$9+U13*$U$9+V13*$V$9+O13*$O$9+P13*$P$9</f>
        <v>0</v>
      </c>
      <c r="Z13" s="64">
        <f t="shared" ref="Z13:Z44" si="10">N13*Y13+W13</f>
        <v>0</v>
      </c>
      <c r="AA13" s="151">
        <f t="shared" ref="AA13:AA44" si="11">L13+Z13</f>
        <v>0.13993331407183815</v>
      </c>
      <c r="AE13" s="27"/>
      <c r="AF13" s="9" t="s">
        <v>24</v>
      </c>
    </row>
    <row r="14" spans="1:89" s="9" customFormat="1" x14ac:dyDescent="0.2">
      <c r="A14" s="55">
        <f>A13+1</f>
        <v>3</v>
      </c>
      <c r="B14" s="148">
        <v>50</v>
      </c>
      <c r="C14" s="57"/>
      <c r="D14" s="58"/>
      <c r="E14" s="147">
        <v>125</v>
      </c>
      <c r="F14" s="58">
        <f t="shared" si="5"/>
        <v>9368.9523193193982</v>
      </c>
      <c r="G14" s="59">
        <f t="shared" si="0"/>
        <v>3.3358752620497353E-2</v>
      </c>
      <c r="H14" s="59">
        <f t="shared" si="1"/>
        <v>3.3358752620497353E-2</v>
      </c>
      <c r="I14" s="59">
        <f t="shared" si="2"/>
        <v>3.3358752620497353E-2</v>
      </c>
      <c r="J14" s="150"/>
      <c r="K14" s="149">
        <f t="shared" si="6"/>
        <v>0.20578428539976198</v>
      </c>
      <c r="L14" s="61">
        <f t="shared" si="3"/>
        <v>0</v>
      </c>
      <c r="M14" s="60">
        <f t="shared" si="4"/>
        <v>1.1317694401737832</v>
      </c>
      <c r="N14" s="62">
        <f t="shared" si="7"/>
        <v>0.77110304355818982</v>
      </c>
      <c r="O14" s="58"/>
      <c r="P14" s="58"/>
      <c r="Q14" s="147">
        <v>1</v>
      </c>
      <c r="R14" s="58"/>
      <c r="S14" s="147"/>
      <c r="T14" s="58"/>
      <c r="U14" s="147"/>
      <c r="V14" s="147"/>
      <c r="W14" s="68">
        <f t="shared" si="8"/>
        <v>0.5</v>
      </c>
      <c r="X14" s="63" t="s">
        <v>90</v>
      </c>
      <c r="Y14" s="4">
        <f t="shared" si="9"/>
        <v>0.5</v>
      </c>
      <c r="Z14" s="64">
        <f>N14*Y14+W14</f>
        <v>0.88555152177909491</v>
      </c>
      <c r="AA14" s="151">
        <f t="shared" si="11"/>
        <v>0.88555152177909491</v>
      </c>
      <c r="AE14" s="27"/>
    </row>
    <row r="15" spans="1:89" s="9" customFormat="1" x14ac:dyDescent="0.2">
      <c r="A15" s="55">
        <f t="shared" ref="A15:A44" si="12">A14+1</f>
        <v>4</v>
      </c>
      <c r="B15" s="148">
        <v>50</v>
      </c>
      <c r="C15" s="57"/>
      <c r="D15" s="58"/>
      <c r="E15" s="147">
        <v>125</v>
      </c>
      <c r="F15" s="58">
        <f t="shared" si="5"/>
        <v>9368.9523193193982</v>
      </c>
      <c r="G15" s="59">
        <f t="shared" si="0"/>
        <v>3.3358752620497353E-2</v>
      </c>
      <c r="H15" s="59">
        <f t="shared" si="1"/>
        <v>3.3358752620497353E-2</v>
      </c>
      <c r="I15" s="59">
        <f t="shared" si="2"/>
        <v>3.3358752620497353E-2</v>
      </c>
      <c r="J15" s="150" t="s">
        <v>95</v>
      </c>
      <c r="K15" s="149">
        <f t="shared" si="6"/>
        <v>0.20578428539976198</v>
      </c>
      <c r="L15" s="61">
        <f t="shared" si="3"/>
        <v>0.36012249944958347</v>
      </c>
      <c r="M15" s="60">
        <f t="shared" si="4"/>
        <v>1.1317694401737832</v>
      </c>
      <c r="N15" s="62">
        <f t="shared" si="7"/>
        <v>0.77110304355818982</v>
      </c>
      <c r="O15" s="58"/>
      <c r="P15" s="58"/>
      <c r="Q15" s="147"/>
      <c r="R15" s="58"/>
      <c r="S15" s="147"/>
      <c r="T15" s="58"/>
      <c r="U15" s="147"/>
      <c r="V15" s="147"/>
      <c r="W15" s="68">
        <f t="shared" si="8"/>
        <v>0</v>
      </c>
      <c r="X15" s="63"/>
      <c r="Y15" s="4">
        <f t="shared" si="9"/>
        <v>0</v>
      </c>
      <c r="Z15" s="64">
        <f t="shared" si="10"/>
        <v>0</v>
      </c>
      <c r="AA15" s="151">
        <f t="shared" si="11"/>
        <v>0.36012249944958347</v>
      </c>
      <c r="AE15" s="27"/>
    </row>
    <row r="16" spans="1:89" s="9" customFormat="1" x14ac:dyDescent="0.2">
      <c r="A16" s="55">
        <f t="shared" si="12"/>
        <v>5</v>
      </c>
      <c r="B16" s="148">
        <v>50</v>
      </c>
      <c r="C16" s="57"/>
      <c r="D16" s="58"/>
      <c r="E16" s="147">
        <v>125</v>
      </c>
      <c r="F16" s="58">
        <f t="shared" si="5"/>
        <v>9368.9523193193982</v>
      </c>
      <c r="G16" s="59">
        <f t="shared" si="0"/>
        <v>3.3358752620497353E-2</v>
      </c>
      <c r="H16" s="59">
        <f t="shared" si="1"/>
        <v>3.3358752620497353E-2</v>
      </c>
      <c r="I16" s="59">
        <f t="shared" si="2"/>
        <v>3.3358752620497353E-2</v>
      </c>
      <c r="J16" s="150"/>
      <c r="K16" s="149">
        <f t="shared" si="6"/>
        <v>0.20578428539976198</v>
      </c>
      <c r="L16" s="61">
        <f t="shared" si="3"/>
        <v>0</v>
      </c>
      <c r="M16" s="60">
        <f t="shared" si="4"/>
        <v>1.1317694401737832</v>
      </c>
      <c r="N16" s="62">
        <f t="shared" si="7"/>
        <v>0.77110304355818982</v>
      </c>
      <c r="O16" s="58"/>
      <c r="P16" s="58"/>
      <c r="Q16" s="147">
        <v>1</v>
      </c>
      <c r="R16" s="58"/>
      <c r="S16" s="147"/>
      <c r="T16" s="58"/>
      <c r="U16" s="147"/>
      <c r="V16" s="147"/>
      <c r="W16" s="68">
        <f t="shared" si="8"/>
        <v>0.5</v>
      </c>
      <c r="X16" s="63" t="s">
        <v>90</v>
      </c>
      <c r="Y16" s="4">
        <f t="shared" si="9"/>
        <v>0.5</v>
      </c>
      <c r="Z16" s="64">
        <f t="shared" si="10"/>
        <v>0.88555152177909491</v>
      </c>
      <c r="AA16" s="151">
        <f t="shared" si="11"/>
        <v>0.88555152177909491</v>
      </c>
      <c r="AE16" s="27"/>
    </row>
    <row r="17" spans="1:31" s="9" customFormat="1" x14ac:dyDescent="0.2">
      <c r="A17" s="55">
        <f t="shared" si="12"/>
        <v>6</v>
      </c>
      <c r="B17" s="148">
        <v>50</v>
      </c>
      <c r="C17" s="57"/>
      <c r="D17" s="58"/>
      <c r="E17" s="147">
        <v>125</v>
      </c>
      <c r="F17" s="58">
        <f t="shared" si="5"/>
        <v>9368.9523193193982</v>
      </c>
      <c r="G17" s="59">
        <f t="shared" si="0"/>
        <v>3.3358752620497353E-2</v>
      </c>
      <c r="H17" s="59">
        <f t="shared" si="1"/>
        <v>3.3358752620497353E-2</v>
      </c>
      <c r="I17" s="59">
        <f t="shared" si="2"/>
        <v>3.3358752620497353E-2</v>
      </c>
      <c r="J17" s="150" t="s">
        <v>96</v>
      </c>
      <c r="K17" s="149">
        <f t="shared" si="6"/>
        <v>0.20578428539976198</v>
      </c>
      <c r="L17" s="61">
        <f t="shared" si="3"/>
        <v>0.9466077128389051</v>
      </c>
      <c r="M17" s="60">
        <f t="shared" si="4"/>
        <v>1.1317694401737832</v>
      </c>
      <c r="N17" s="62">
        <f t="shared" si="7"/>
        <v>0.77110304355818982</v>
      </c>
      <c r="O17" s="58"/>
      <c r="P17" s="58"/>
      <c r="Q17" s="147"/>
      <c r="R17" s="58"/>
      <c r="S17" s="147"/>
      <c r="T17" s="58"/>
      <c r="U17" s="147"/>
      <c r="V17" s="147"/>
      <c r="W17" s="68">
        <f t="shared" si="8"/>
        <v>0</v>
      </c>
      <c r="X17" s="63"/>
      <c r="Y17" s="4">
        <f t="shared" si="9"/>
        <v>0</v>
      </c>
      <c r="Z17" s="64">
        <f t="shared" si="10"/>
        <v>0</v>
      </c>
      <c r="AA17" s="151">
        <f t="shared" si="11"/>
        <v>0.9466077128389051</v>
      </c>
      <c r="AE17" s="27"/>
    </row>
    <row r="18" spans="1:31" s="9" customFormat="1" x14ac:dyDescent="0.2">
      <c r="A18" s="55">
        <f t="shared" si="12"/>
        <v>7</v>
      </c>
      <c r="B18" s="148">
        <v>50</v>
      </c>
      <c r="C18" s="57"/>
      <c r="D18" s="58"/>
      <c r="E18" s="147">
        <v>125</v>
      </c>
      <c r="F18" s="58">
        <f t="shared" si="5"/>
        <v>9368.9523193193982</v>
      </c>
      <c r="G18" s="59">
        <f t="shared" si="0"/>
        <v>3.3358752620497353E-2</v>
      </c>
      <c r="H18" s="59">
        <f t="shared" si="1"/>
        <v>3.3358752620497353E-2</v>
      </c>
      <c r="I18" s="59">
        <f t="shared" si="2"/>
        <v>3.3358752620497353E-2</v>
      </c>
      <c r="J18" s="150"/>
      <c r="K18" s="149">
        <f t="shared" si="6"/>
        <v>0.20578428539976198</v>
      </c>
      <c r="L18" s="61">
        <f t="shared" si="3"/>
        <v>0</v>
      </c>
      <c r="M18" s="60">
        <f t="shared" si="4"/>
        <v>1.1317694401737832</v>
      </c>
      <c r="N18" s="62">
        <f t="shared" si="7"/>
        <v>0.77110304355818982</v>
      </c>
      <c r="O18" s="58"/>
      <c r="P18" s="58"/>
      <c r="Q18" s="147">
        <v>1</v>
      </c>
      <c r="R18" s="58"/>
      <c r="S18" s="147"/>
      <c r="T18" s="58"/>
      <c r="U18" s="147"/>
      <c r="V18" s="147"/>
      <c r="W18" s="68">
        <f t="shared" si="8"/>
        <v>0.5</v>
      </c>
      <c r="X18" s="63" t="s">
        <v>90</v>
      </c>
      <c r="Y18" s="4">
        <f t="shared" si="9"/>
        <v>0.5</v>
      </c>
      <c r="Z18" s="64">
        <f t="shared" si="10"/>
        <v>0.88555152177909491</v>
      </c>
      <c r="AA18" s="151">
        <f t="shared" si="11"/>
        <v>0.88555152177909491</v>
      </c>
      <c r="AE18" s="27"/>
    </row>
    <row r="19" spans="1:31" s="9" customFormat="1" x14ac:dyDescent="0.2">
      <c r="A19" s="55">
        <f t="shared" si="12"/>
        <v>8</v>
      </c>
      <c r="B19" s="148">
        <v>50</v>
      </c>
      <c r="C19" s="57"/>
      <c r="D19" s="58"/>
      <c r="E19" s="147">
        <v>125</v>
      </c>
      <c r="F19" s="58">
        <f t="shared" si="5"/>
        <v>9368.9523193193982</v>
      </c>
      <c r="G19" s="59">
        <f t="shared" si="0"/>
        <v>3.3358752620497353E-2</v>
      </c>
      <c r="H19" s="59">
        <f t="shared" si="1"/>
        <v>3.3358752620497353E-2</v>
      </c>
      <c r="I19" s="59">
        <f t="shared" si="2"/>
        <v>3.3358752620497353E-2</v>
      </c>
      <c r="J19" s="150" t="s">
        <v>97</v>
      </c>
      <c r="K19" s="149">
        <f t="shared" si="6"/>
        <v>0.20578428539976198</v>
      </c>
      <c r="L19" s="61">
        <f t="shared" si="3"/>
        <v>0.8951616414889646</v>
      </c>
      <c r="M19" s="60">
        <f t="shared" si="4"/>
        <v>1.1317694401737832</v>
      </c>
      <c r="N19" s="62">
        <f t="shared" si="7"/>
        <v>0.77110304355818982</v>
      </c>
      <c r="O19" s="58"/>
      <c r="P19" s="58"/>
      <c r="Q19" s="147"/>
      <c r="R19" s="58"/>
      <c r="S19" s="147"/>
      <c r="T19" s="58"/>
      <c r="U19" s="147"/>
      <c r="V19" s="147"/>
      <c r="W19" s="68">
        <f t="shared" si="8"/>
        <v>0</v>
      </c>
      <c r="X19" s="63"/>
      <c r="Y19" s="4">
        <f t="shared" si="9"/>
        <v>0</v>
      </c>
      <c r="Z19" s="64">
        <f t="shared" si="10"/>
        <v>0</v>
      </c>
      <c r="AA19" s="151">
        <f t="shared" si="11"/>
        <v>0.8951616414889646</v>
      </c>
      <c r="AE19" s="27"/>
    </row>
    <row r="20" spans="1:31" s="9" customFormat="1" x14ac:dyDescent="0.2">
      <c r="A20" s="55">
        <f t="shared" si="12"/>
        <v>9</v>
      </c>
      <c r="B20" s="148">
        <v>50</v>
      </c>
      <c r="C20" s="57"/>
      <c r="D20" s="58"/>
      <c r="E20" s="147">
        <v>125</v>
      </c>
      <c r="F20" s="58">
        <f t="shared" si="5"/>
        <v>9368.9523193193982</v>
      </c>
      <c r="G20" s="59">
        <f t="shared" si="0"/>
        <v>3.3358752620497353E-2</v>
      </c>
      <c r="H20" s="59">
        <f t="shared" si="1"/>
        <v>3.3358752620497353E-2</v>
      </c>
      <c r="I20" s="59">
        <f t="shared" si="2"/>
        <v>3.3358752620497353E-2</v>
      </c>
      <c r="J20" s="150"/>
      <c r="K20" s="149">
        <f t="shared" si="6"/>
        <v>0.20578428539976198</v>
      </c>
      <c r="L20" s="61">
        <f t="shared" si="3"/>
        <v>0</v>
      </c>
      <c r="M20" s="60">
        <f t="shared" si="4"/>
        <v>1.1317694401737832</v>
      </c>
      <c r="N20" s="62">
        <f t="shared" si="7"/>
        <v>0.77110304355818982</v>
      </c>
      <c r="O20" s="58"/>
      <c r="P20" s="58"/>
      <c r="Q20" s="147"/>
      <c r="R20" s="58"/>
      <c r="S20" s="147"/>
      <c r="T20" s="58"/>
      <c r="U20" s="147">
        <v>1</v>
      </c>
      <c r="V20" s="147"/>
      <c r="W20" s="68">
        <f t="shared" si="8"/>
        <v>0.2</v>
      </c>
      <c r="X20" s="63"/>
      <c r="Y20" s="4">
        <f t="shared" si="9"/>
        <v>0.2</v>
      </c>
      <c r="Z20" s="64">
        <f t="shared" si="10"/>
        <v>0.35422060871163796</v>
      </c>
      <c r="AA20" s="151">
        <f t="shared" si="11"/>
        <v>0.35422060871163796</v>
      </c>
      <c r="AE20" s="27"/>
    </row>
    <row r="21" spans="1:31" s="9" customFormat="1" x14ac:dyDescent="0.2">
      <c r="A21" s="55">
        <f t="shared" si="12"/>
        <v>10</v>
      </c>
      <c r="B21" s="148">
        <v>150</v>
      </c>
      <c r="C21" s="57"/>
      <c r="D21" s="58"/>
      <c r="E21" s="147">
        <v>125</v>
      </c>
      <c r="F21" s="58">
        <f t="shared" si="5"/>
        <v>28106.856957958193</v>
      </c>
      <c r="G21" s="59">
        <f t="shared" si="0"/>
        <v>2.6980499431902033E-2</v>
      </c>
      <c r="H21" s="59">
        <f t="shared" si="1"/>
        <v>2.6980499431902033E-2</v>
      </c>
      <c r="I21" s="59">
        <f t="shared" si="2"/>
        <v>2.6980499431902033E-2</v>
      </c>
      <c r="J21" s="150" t="s">
        <v>98</v>
      </c>
      <c r="K21" s="149">
        <f t="shared" si="6"/>
        <v>1.4979416564634958</v>
      </c>
      <c r="L21" s="61">
        <f t="shared" si="3"/>
        <v>1.8724270705793697</v>
      </c>
      <c r="M21" s="60">
        <f t="shared" si="4"/>
        <v>3.3953083205213495</v>
      </c>
      <c r="N21" s="62">
        <f t="shared" si="7"/>
        <v>6.9399273920237068</v>
      </c>
      <c r="O21" s="58"/>
      <c r="P21" s="58"/>
      <c r="Q21" s="147"/>
      <c r="R21" s="58"/>
      <c r="S21" s="147"/>
      <c r="T21" s="58"/>
      <c r="U21" s="147"/>
      <c r="V21" s="147"/>
      <c r="W21" s="68">
        <f t="shared" si="8"/>
        <v>0</v>
      </c>
      <c r="X21" s="63"/>
      <c r="Y21" s="4">
        <f>Q21*$Q$9+R21*$R$9+S21*$S$9+T21*$T$9+U21*$U$9+V21*$V$9+O21*$O$9+P21*$P$9</f>
        <v>0</v>
      </c>
      <c r="Z21" s="64">
        <f t="shared" si="10"/>
        <v>0</v>
      </c>
      <c r="AA21" s="151">
        <f t="shared" si="11"/>
        <v>1.8724270705793697</v>
      </c>
      <c r="AE21" s="27"/>
    </row>
    <row r="22" spans="1:31" s="9" customFormat="1" x14ac:dyDescent="0.2">
      <c r="A22" s="55">
        <f t="shared" si="12"/>
        <v>11</v>
      </c>
      <c r="B22" s="148">
        <v>150</v>
      </c>
      <c r="C22" s="57"/>
      <c r="D22" s="58"/>
      <c r="E22" s="147">
        <v>125</v>
      </c>
      <c r="F22" s="58">
        <f t="shared" si="5"/>
        <v>28106.856957958193</v>
      </c>
      <c r="G22" s="59">
        <f t="shared" si="0"/>
        <v>2.6980499431902033E-2</v>
      </c>
      <c r="H22" s="59">
        <f t="shared" si="1"/>
        <v>2.6980499431902033E-2</v>
      </c>
      <c r="I22" s="59">
        <f t="shared" si="2"/>
        <v>2.6980499431902033E-2</v>
      </c>
      <c r="J22" s="150"/>
      <c r="K22" s="149">
        <f t="shared" si="6"/>
        <v>1.4979416564634958</v>
      </c>
      <c r="L22" s="61">
        <f t="shared" si="3"/>
        <v>0</v>
      </c>
      <c r="M22" s="60">
        <f t="shared" si="4"/>
        <v>3.3953083205213495</v>
      </c>
      <c r="N22" s="62">
        <f t="shared" si="7"/>
        <v>6.9399273920237068</v>
      </c>
      <c r="O22" s="58"/>
      <c r="P22" s="58"/>
      <c r="Q22" s="147"/>
      <c r="R22" s="58"/>
      <c r="S22" s="147"/>
      <c r="T22" s="58"/>
      <c r="U22" s="147">
        <v>1</v>
      </c>
      <c r="V22" s="147"/>
      <c r="W22" s="68">
        <f t="shared" si="8"/>
        <v>0.2</v>
      </c>
      <c r="X22" s="63"/>
      <c r="Y22" s="4">
        <f t="shared" si="9"/>
        <v>0.2</v>
      </c>
      <c r="Z22" s="64">
        <f t="shared" si="10"/>
        <v>1.5879854784047414</v>
      </c>
      <c r="AA22" s="151">
        <f t="shared" si="11"/>
        <v>1.5879854784047414</v>
      </c>
      <c r="AE22" s="27"/>
    </row>
    <row r="23" spans="1:31" s="9" customFormat="1" x14ac:dyDescent="0.2">
      <c r="A23" s="55">
        <f t="shared" si="12"/>
        <v>12</v>
      </c>
      <c r="B23" s="148">
        <v>200</v>
      </c>
      <c r="C23" s="57"/>
      <c r="D23" s="58"/>
      <c r="E23" s="147">
        <v>125</v>
      </c>
      <c r="F23" s="58">
        <f t="shared" si="5"/>
        <v>37475.809277277593</v>
      </c>
      <c r="G23" s="59">
        <f t="shared" si="0"/>
        <v>2.5774879623136779E-2</v>
      </c>
      <c r="H23" s="59">
        <f t="shared" si="1"/>
        <v>2.5774879623136779E-2</v>
      </c>
      <c r="I23" s="59">
        <f t="shared" si="2"/>
        <v>2.5774879623136779E-2</v>
      </c>
      <c r="J23" s="150" t="s">
        <v>99</v>
      </c>
      <c r="K23" s="149">
        <f t="shared" si="6"/>
        <v>2.5440112799675823</v>
      </c>
      <c r="L23" s="61">
        <f t="shared" si="3"/>
        <v>11.09188918065866</v>
      </c>
      <c r="M23" s="60">
        <f t="shared" si="4"/>
        <v>4.5270777606951329</v>
      </c>
      <c r="N23" s="62">
        <f t="shared" si="7"/>
        <v>12.337648696931037</v>
      </c>
      <c r="O23" s="58"/>
      <c r="P23" s="58"/>
      <c r="Q23" s="147"/>
      <c r="R23" s="58"/>
      <c r="S23" s="147"/>
      <c r="T23" s="58"/>
      <c r="U23" s="147"/>
      <c r="V23" s="147"/>
      <c r="W23" s="68">
        <f t="shared" si="8"/>
        <v>0</v>
      </c>
      <c r="X23" s="63"/>
      <c r="Y23" s="4">
        <f t="shared" si="9"/>
        <v>0</v>
      </c>
      <c r="Z23" s="64">
        <f t="shared" si="10"/>
        <v>0</v>
      </c>
      <c r="AA23" s="151">
        <f t="shared" si="11"/>
        <v>11.09188918065866</v>
      </c>
      <c r="AE23" s="27"/>
    </row>
    <row r="24" spans="1:31" s="9" customFormat="1" x14ac:dyDescent="0.2">
      <c r="A24" s="55">
        <f t="shared" si="12"/>
        <v>13</v>
      </c>
      <c r="B24" s="148">
        <v>200</v>
      </c>
      <c r="C24" s="57"/>
      <c r="D24" s="58"/>
      <c r="E24" s="147">
        <v>125</v>
      </c>
      <c r="F24" s="58">
        <f t="shared" si="5"/>
        <v>37475.809277277593</v>
      </c>
      <c r="G24" s="59">
        <f t="shared" si="0"/>
        <v>2.5774879623136779E-2</v>
      </c>
      <c r="H24" s="59">
        <f t="shared" si="1"/>
        <v>2.5774879623136779E-2</v>
      </c>
      <c r="I24" s="59">
        <f t="shared" si="2"/>
        <v>2.5774879623136779E-2</v>
      </c>
      <c r="J24" s="150"/>
      <c r="K24" s="149">
        <f t="shared" si="6"/>
        <v>2.5440112799675823</v>
      </c>
      <c r="L24" s="61">
        <f t="shared" si="3"/>
        <v>0</v>
      </c>
      <c r="M24" s="60">
        <f t="shared" si="4"/>
        <v>4.5270777606951329</v>
      </c>
      <c r="N24" s="62">
        <f t="shared" si="7"/>
        <v>12.337648696931037</v>
      </c>
      <c r="O24" s="58"/>
      <c r="P24" s="58"/>
      <c r="Q24" s="147"/>
      <c r="R24" s="58"/>
      <c r="S24" s="147">
        <v>1</v>
      </c>
      <c r="T24" s="58"/>
      <c r="U24" s="147"/>
      <c r="V24" s="147"/>
      <c r="W24" s="68">
        <f t="shared" si="8"/>
        <v>0.25</v>
      </c>
      <c r="X24" s="63" t="s">
        <v>91</v>
      </c>
      <c r="Y24" s="4">
        <f t="shared" si="9"/>
        <v>0.25</v>
      </c>
      <c r="Z24" s="64">
        <f t="shared" si="10"/>
        <v>3.3344121742327593</v>
      </c>
      <c r="AA24" s="151">
        <f t="shared" si="11"/>
        <v>3.3344121742327593</v>
      </c>
      <c r="AE24" s="27"/>
    </row>
    <row r="25" spans="1:31" s="9" customFormat="1" x14ac:dyDescent="0.2">
      <c r="A25" s="55">
        <f t="shared" si="12"/>
        <v>14</v>
      </c>
      <c r="B25" s="148">
        <v>200</v>
      </c>
      <c r="C25" s="57"/>
      <c r="D25" s="58"/>
      <c r="E25" s="147">
        <v>160</v>
      </c>
      <c r="F25" s="58">
        <f t="shared" si="5"/>
        <v>29277.975997873116</v>
      </c>
      <c r="G25" s="59">
        <f t="shared" si="0"/>
        <v>2.6284471391550605E-2</v>
      </c>
      <c r="H25" s="59">
        <f t="shared" si="1"/>
        <v>2.6284471391550605E-2</v>
      </c>
      <c r="I25" s="59">
        <f t="shared" si="2"/>
        <v>2.6284471391550605E-2</v>
      </c>
      <c r="J25" s="150"/>
      <c r="K25" s="149">
        <f t="shared" si="6"/>
        <v>0.7550431746372146</v>
      </c>
      <c r="L25" s="61">
        <f t="shared" si="3"/>
        <v>0</v>
      </c>
      <c r="M25" s="60">
        <f t="shared" si="4"/>
        <v>2.7631089847992754</v>
      </c>
      <c r="N25" s="62">
        <f t="shared" si="7"/>
        <v>4.5961322996508462</v>
      </c>
      <c r="O25" s="58"/>
      <c r="P25" s="58"/>
      <c r="Q25" s="147"/>
      <c r="R25" s="58"/>
      <c r="S25" s="147"/>
      <c r="T25" s="58"/>
      <c r="U25" s="147">
        <v>1</v>
      </c>
      <c r="V25" s="147"/>
      <c r="W25" s="68">
        <f t="shared" si="8"/>
        <v>0.2</v>
      </c>
      <c r="X25" s="63" t="s">
        <v>89</v>
      </c>
      <c r="Y25" s="4">
        <f t="shared" si="9"/>
        <v>0.2</v>
      </c>
      <c r="Z25" s="64">
        <f t="shared" si="10"/>
        <v>1.1192264599301693</v>
      </c>
      <c r="AA25" s="151">
        <f t="shared" si="11"/>
        <v>1.1192264599301693</v>
      </c>
      <c r="AE25" s="27"/>
    </row>
    <row r="26" spans="1:31" s="9" customFormat="1" x14ac:dyDescent="0.2">
      <c r="A26" s="55">
        <f t="shared" si="12"/>
        <v>15</v>
      </c>
      <c r="B26" s="148">
        <v>250</v>
      </c>
      <c r="C26" s="57"/>
      <c r="D26" s="58"/>
      <c r="E26" s="147">
        <v>160</v>
      </c>
      <c r="F26" s="58">
        <f t="shared" si="5"/>
        <v>36597.469997341403</v>
      </c>
      <c r="G26" s="59">
        <f t="shared" si="0"/>
        <v>2.5293537694917694E-2</v>
      </c>
      <c r="H26" s="59">
        <f t="shared" si="1"/>
        <v>2.5293537694917694E-2</v>
      </c>
      <c r="I26" s="59">
        <f t="shared" si="2"/>
        <v>2.5293537694917694E-2</v>
      </c>
      <c r="J26" s="150" t="s">
        <v>100</v>
      </c>
      <c r="K26" s="149">
        <f t="shared" si="6"/>
        <v>1.135277788789526</v>
      </c>
      <c r="L26" s="61">
        <f t="shared" si="3"/>
        <v>3.2014833643864633</v>
      </c>
      <c r="M26" s="60">
        <f t="shared" si="4"/>
        <v>3.4538862309990948</v>
      </c>
      <c r="N26" s="62">
        <f t="shared" si="7"/>
        <v>7.1814567182044486</v>
      </c>
      <c r="O26" s="58"/>
      <c r="P26" s="58"/>
      <c r="Q26" s="147"/>
      <c r="R26" s="58"/>
      <c r="S26" s="147"/>
      <c r="T26" s="58"/>
      <c r="U26" s="147"/>
      <c r="V26" s="147"/>
      <c r="W26" s="68">
        <f t="shared" si="8"/>
        <v>0</v>
      </c>
      <c r="X26" s="63"/>
      <c r="Y26" s="4">
        <f t="shared" si="9"/>
        <v>0</v>
      </c>
      <c r="Z26" s="64">
        <f t="shared" si="10"/>
        <v>0</v>
      </c>
      <c r="AA26" s="151">
        <f t="shared" si="11"/>
        <v>3.2014833643864633</v>
      </c>
      <c r="AE26" s="27"/>
    </row>
    <row r="27" spans="1:31" s="9" customFormat="1" x14ac:dyDescent="0.2">
      <c r="A27" s="55">
        <f t="shared" si="12"/>
        <v>16</v>
      </c>
      <c r="B27" s="148">
        <v>250</v>
      </c>
      <c r="C27" s="57"/>
      <c r="D27" s="58"/>
      <c r="E27" s="147">
        <v>160</v>
      </c>
      <c r="F27" s="58">
        <f t="shared" si="5"/>
        <v>36597.469997341403</v>
      </c>
      <c r="G27" s="59">
        <f t="shared" si="0"/>
        <v>2.5293537694917694E-2</v>
      </c>
      <c r="H27" s="59">
        <f t="shared" si="1"/>
        <v>2.5293537694917694E-2</v>
      </c>
      <c r="I27" s="59">
        <f t="shared" si="2"/>
        <v>2.5293537694917694E-2</v>
      </c>
      <c r="J27" s="150"/>
      <c r="K27" s="149">
        <f t="shared" si="6"/>
        <v>1.135277788789526</v>
      </c>
      <c r="L27" s="61">
        <f t="shared" si="3"/>
        <v>0</v>
      </c>
      <c r="M27" s="60">
        <f t="shared" si="4"/>
        <v>3.4538862309990948</v>
      </c>
      <c r="N27" s="62">
        <f t="shared" si="7"/>
        <v>7.1814567182044486</v>
      </c>
      <c r="O27" s="58"/>
      <c r="P27" s="58"/>
      <c r="Q27" s="147"/>
      <c r="R27" s="58"/>
      <c r="S27" s="147"/>
      <c r="T27" s="58"/>
      <c r="U27" s="147">
        <v>1</v>
      </c>
      <c r="V27" s="147"/>
      <c r="W27" s="68">
        <f t="shared" si="8"/>
        <v>0.2</v>
      </c>
      <c r="X27" s="63" t="s">
        <v>89</v>
      </c>
      <c r="Y27" s="4">
        <f t="shared" si="9"/>
        <v>0.2</v>
      </c>
      <c r="Z27" s="64">
        <f t="shared" si="10"/>
        <v>1.6362913436408897</v>
      </c>
      <c r="AA27" s="151">
        <f t="shared" si="11"/>
        <v>1.6362913436408897</v>
      </c>
      <c r="AE27" s="27"/>
    </row>
    <row r="28" spans="1:31" s="9" customFormat="1" x14ac:dyDescent="0.2">
      <c r="A28" s="55">
        <f t="shared" si="12"/>
        <v>17</v>
      </c>
      <c r="B28" s="148">
        <v>300</v>
      </c>
      <c r="C28" s="57"/>
      <c r="D28" s="58"/>
      <c r="E28" s="147">
        <v>160</v>
      </c>
      <c r="F28" s="58">
        <f t="shared" si="5"/>
        <v>43916.963996809674</v>
      </c>
      <c r="G28" s="59">
        <f t="shared" si="0"/>
        <v>2.4561934977434422E-2</v>
      </c>
      <c r="H28" s="59">
        <f t="shared" si="1"/>
        <v>2.4561934977434422E-2</v>
      </c>
      <c r="I28" s="59">
        <f t="shared" si="2"/>
        <v>2.4561934977434422E-2</v>
      </c>
      <c r="J28" s="150" t="s">
        <v>101</v>
      </c>
      <c r="K28" s="149">
        <f t="shared" si="6"/>
        <v>1.5875142566021747</v>
      </c>
      <c r="L28" s="61">
        <f t="shared" si="3"/>
        <v>4.3021636353918931</v>
      </c>
      <c r="M28" s="60">
        <f t="shared" si="4"/>
        <v>4.1446634771989128</v>
      </c>
      <c r="N28" s="62">
        <f t="shared" si="7"/>
        <v>10.341297674214402</v>
      </c>
      <c r="O28" s="58"/>
      <c r="P28" s="58"/>
      <c r="Q28" s="147"/>
      <c r="R28" s="58"/>
      <c r="S28" s="147"/>
      <c r="T28" s="58"/>
      <c r="U28" s="147"/>
      <c r="V28" s="147"/>
      <c r="W28" s="68">
        <f t="shared" si="8"/>
        <v>0</v>
      </c>
      <c r="X28" s="63"/>
      <c r="Y28" s="4">
        <f t="shared" si="9"/>
        <v>0</v>
      </c>
      <c r="Z28" s="64">
        <f t="shared" si="10"/>
        <v>0</v>
      </c>
      <c r="AA28" s="151">
        <f t="shared" si="11"/>
        <v>4.3021636353918931</v>
      </c>
      <c r="AE28" s="27"/>
    </row>
    <row r="29" spans="1:31" s="9" customFormat="1" x14ac:dyDescent="0.2">
      <c r="A29" s="55">
        <f t="shared" si="12"/>
        <v>18</v>
      </c>
      <c r="B29" s="148">
        <v>300</v>
      </c>
      <c r="C29" s="57"/>
      <c r="D29" s="58"/>
      <c r="E29" s="147">
        <v>160</v>
      </c>
      <c r="F29" s="58">
        <f t="shared" si="5"/>
        <v>43916.963996809674</v>
      </c>
      <c r="G29" s="59">
        <f t="shared" si="0"/>
        <v>2.4561934977434422E-2</v>
      </c>
      <c r="H29" s="59">
        <f t="shared" si="1"/>
        <v>2.4561934977434422E-2</v>
      </c>
      <c r="I29" s="59">
        <f t="shared" si="2"/>
        <v>2.4561934977434422E-2</v>
      </c>
      <c r="J29" s="150"/>
      <c r="K29" s="149">
        <f t="shared" si="6"/>
        <v>1.5875142566021747</v>
      </c>
      <c r="L29" s="61">
        <f t="shared" si="3"/>
        <v>0</v>
      </c>
      <c r="M29" s="60">
        <f t="shared" si="4"/>
        <v>4.1446634771989128</v>
      </c>
      <c r="N29" s="62">
        <f t="shared" si="7"/>
        <v>10.341297674214402</v>
      </c>
      <c r="O29" s="58"/>
      <c r="P29" s="58"/>
      <c r="Q29" s="147"/>
      <c r="R29" s="58"/>
      <c r="S29" s="147"/>
      <c r="T29" s="58"/>
      <c r="U29" s="147">
        <v>1</v>
      </c>
      <c r="V29" s="147"/>
      <c r="W29" s="68">
        <f t="shared" si="8"/>
        <v>0.2</v>
      </c>
      <c r="X29" s="63" t="s">
        <v>89</v>
      </c>
      <c r="Y29" s="4">
        <f t="shared" si="9"/>
        <v>0.2</v>
      </c>
      <c r="Z29" s="64">
        <f t="shared" si="10"/>
        <v>2.2682595348428807</v>
      </c>
      <c r="AA29" s="151">
        <f t="shared" si="11"/>
        <v>2.2682595348428807</v>
      </c>
      <c r="AE29" s="27"/>
    </row>
    <row r="30" spans="1:31" s="9" customFormat="1" x14ac:dyDescent="0.2">
      <c r="A30" s="55">
        <f t="shared" si="12"/>
        <v>19</v>
      </c>
      <c r="B30" s="148">
        <v>350</v>
      </c>
      <c r="C30" s="57"/>
      <c r="D30" s="58"/>
      <c r="E30" s="147">
        <v>160</v>
      </c>
      <c r="F30" s="58">
        <f t="shared" si="5"/>
        <v>51236.457996277953</v>
      </c>
      <c r="G30" s="59">
        <f t="shared" si="0"/>
        <v>2.3996306152523333E-2</v>
      </c>
      <c r="H30" s="59">
        <f t="shared" si="1"/>
        <v>2.3996306152523333E-2</v>
      </c>
      <c r="I30" s="59">
        <f t="shared" si="2"/>
        <v>2.3996306152523333E-2</v>
      </c>
      <c r="J30" s="150" t="s">
        <v>102</v>
      </c>
      <c r="K30" s="149">
        <f t="shared" si="6"/>
        <v>2.1110233168813344</v>
      </c>
      <c r="L30" s="61">
        <f t="shared" si="3"/>
        <v>6.0375266862806161</v>
      </c>
      <c r="M30" s="60">
        <f t="shared" si="4"/>
        <v>4.8354407233987313</v>
      </c>
      <c r="N30" s="62">
        <f t="shared" si="7"/>
        <v>14.075655167680713</v>
      </c>
      <c r="O30" s="58"/>
      <c r="P30" s="58"/>
      <c r="Q30" s="147"/>
      <c r="R30" s="58"/>
      <c r="S30" s="147"/>
      <c r="T30" s="58"/>
      <c r="U30" s="147"/>
      <c r="V30" s="147"/>
      <c r="W30" s="68">
        <f t="shared" si="8"/>
        <v>0</v>
      </c>
      <c r="X30" s="63"/>
      <c r="Y30" s="4">
        <f t="shared" si="9"/>
        <v>0</v>
      </c>
      <c r="Z30" s="64">
        <f t="shared" si="10"/>
        <v>0</v>
      </c>
      <c r="AA30" s="151">
        <f t="shared" si="11"/>
        <v>6.0375266862806161</v>
      </c>
      <c r="AE30" s="27"/>
    </row>
    <row r="31" spans="1:31" s="9" customFormat="1" x14ac:dyDescent="0.2">
      <c r="A31" s="55">
        <f t="shared" si="12"/>
        <v>20</v>
      </c>
      <c r="B31" s="148">
        <v>350</v>
      </c>
      <c r="C31" s="57"/>
      <c r="D31" s="58"/>
      <c r="E31" s="147">
        <v>160</v>
      </c>
      <c r="F31" s="58">
        <f t="shared" si="5"/>
        <v>51236.457996277953</v>
      </c>
      <c r="G31" s="59">
        <f t="shared" si="0"/>
        <v>2.3996306152523333E-2</v>
      </c>
      <c r="H31" s="59">
        <f t="shared" si="1"/>
        <v>2.3996306152523333E-2</v>
      </c>
      <c r="I31" s="59">
        <f t="shared" si="2"/>
        <v>2.3996306152523333E-2</v>
      </c>
      <c r="J31" s="150"/>
      <c r="K31" s="149">
        <f t="shared" si="6"/>
        <v>2.1110233168813344</v>
      </c>
      <c r="L31" s="61">
        <f t="shared" si="3"/>
        <v>0</v>
      </c>
      <c r="M31" s="60">
        <f t="shared" si="4"/>
        <v>4.8354407233987313</v>
      </c>
      <c r="N31" s="62">
        <f t="shared" si="7"/>
        <v>14.075655167680713</v>
      </c>
      <c r="O31" s="58"/>
      <c r="P31" s="58"/>
      <c r="Q31" s="147"/>
      <c r="R31" s="58"/>
      <c r="S31" s="147"/>
      <c r="T31" s="58"/>
      <c r="U31" s="147">
        <v>1</v>
      </c>
      <c r="V31" s="147"/>
      <c r="W31" s="68">
        <f t="shared" si="8"/>
        <v>0.2</v>
      </c>
      <c r="X31" s="63"/>
      <c r="Y31" s="4">
        <f t="shared" si="9"/>
        <v>0.2</v>
      </c>
      <c r="Z31" s="64">
        <f t="shared" si="10"/>
        <v>3.015131033536143</v>
      </c>
      <c r="AA31" s="151">
        <f t="shared" si="11"/>
        <v>3.015131033536143</v>
      </c>
      <c r="AE31" s="27"/>
    </row>
    <row r="32" spans="1:31" s="9" customFormat="1" x14ac:dyDescent="0.2">
      <c r="A32" s="55">
        <f t="shared" si="12"/>
        <v>21</v>
      </c>
      <c r="B32" s="148">
        <v>400</v>
      </c>
      <c r="C32" s="57"/>
      <c r="D32" s="58"/>
      <c r="E32" s="147">
        <v>160</v>
      </c>
      <c r="F32" s="58">
        <f t="shared" si="5"/>
        <v>58555.951995746233</v>
      </c>
      <c r="G32" s="59">
        <f t="shared" si="0"/>
        <v>2.3544232711543104E-2</v>
      </c>
      <c r="H32" s="59">
        <f t="shared" si="1"/>
        <v>2.3544232711543104E-2</v>
      </c>
      <c r="I32" s="59">
        <f t="shared" si="2"/>
        <v>2.3544232711543104E-2</v>
      </c>
      <c r="J32" s="150" t="s">
        <v>103</v>
      </c>
      <c r="K32" s="149">
        <f t="shared" si="6"/>
        <v>2.7053102109004814</v>
      </c>
      <c r="L32" s="61">
        <f t="shared" si="3"/>
        <v>7.3854968757583146</v>
      </c>
      <c r="M32" s="60">
        <f t="shared" si="4"/>
        <v>5.5262179695985507</v>
      </c>
      <c r="N32" s="62">
        <f t="shared" si="7"/>
        <v>18.384529198603385</v>
      </c>
      <c r="O32" s="58"/>
      <c r="P32" s="58"/>
      <c r="Q32" s="147"/>
      <c r="R32" s="58"/>
      <c r="S32" s="147"/>
      <c r="T32" s="58"/>
      <c r="U32" s="147"/>
      <c r="V32" s="147"/>
      <c r="W32" s="68">
        <f t="shared" si="8"/>
        <v>0</v>
      </c>
      <c r="X32" s="63"/>
      <c r="Y32" s="4">
        <f t="shared" si="9"/>
        <v>0</v>
      </c>
      <c r="Z32" s="64">
        <f t="shared" si="10"/>
        <v>0</v>
      </c>
      <c r="AA32" s="151">
        <f t="shared" si="11"/>
        <v>7.3854968757583146</v>
      </c>
      <c r="AE32" s="27"/>
    </row>
    <row r="33" spans="1:31" s="9" customFormat="1" x14ac:dyDescent="0.2">
      <c r="A33" s="55">
        <f t="shared" si="12"/>
        <v>22</v>
      </c>
      <c r="B33" s="148">
        <v>400</v>
      </c>
      <c r="C33" s="57"/>
      <c r="D33" s="58"/>
      <c r="E33" s="147">
        <v>160</v>
      </c>
      <c r="F33" s="58">
        <f t="shared" si="5"/>
        <v>58555.951995746233</v>
      </c>
      <c r="G33" s="59">
        <f t="shared" si="0"/>
        <v>2.3544232711543104E-2</v>
      </c>
      <c r="H33" s="59">
        <f t="shared" si="1"/>
        <v>2.3544232711543104E-2</v>
      </c>
      <c r="I33" s="59">
        <f t="shared" si="2"/>
        <v>2.3544232711543104E-2</v>
      </c>
      <c r="J33" s="150"/>
      <c r="K33" s="149">
        <f t="shared" si="6"/>
        <v>2.7053102109004814</v>
      </c>
      <c r="L33" s="61">
        <f t="shared" si="3"/>
        <v>0</v>
      </c>
      <c r="M33" s="60">
        <f t="shared" si="4"/>
        <v>5.5262179695985507</v>
      </c>
      <c r="N33" s="62">
        <f t="shared" si="7"/>
        <v>18.384529198603385</v>
      </c>
      <c r="O33" s="58"/>
      <c r="P33" s="58"/>
      <c r="Q33" s="147"/>
      <c r="R33" s="58"/>
      <c r="S33" s="147"/>
      <c r="T33" s="58"/>
      <c r="U33" s="147">
        <v>1</v>
      </c>
      <c r="V33" s="147"/>
      <c r="W33" s="68">
        <f t="shared" si="8"/>
        <v>0.2</v>
      </c>
      <c r="X33" s="63" t="s">
        <v>89</v>
      </c>
      <c r="Y33" s="4">
        <f t="shared" si="9"/>
        <v>0.2</v>
      </c>
      <c r="Z33" s="64">
        <f t="shared" si="10"/>
        <v>3.8769058397206773</v>
      </c>
      <c r="AA33" s="151">
        <f t="shared" si="11"/>
        <v>3.8769058397206773</v>
      </c>
      <c r="AE33" s="27"/>
    </row>
    <row r="34" spans="1:31" s="9" customFormat="1" x14ac:dyDescent="0.2">
      <c r="A34" s="55">
        <f t="shared" si="12"/>
        <v>23</v>
      </c>
      <c r="B34" s="148">
        <v>450</v>
      </c>
      <c r="C34" s="57"/>
      <c r="D34" s="58"/>
      <c r="E34" s="147">
        <v>160</v>
      </c>
      <c r="F34" s="58">
        <f t="shared" si="5"/>
        <v>65875.445995214526</v>
      </c>
      <c r="G34" s="59">
        <f t="shared" si="0"/>
        <v>2.3173707541403323E-2</v>
      </c>
      <c r="H34" s="59">
        <f t="shared" si="1"/>
        <v>2.3173707541403323E-2</v>
      </c>
      <c r="I34" s="59">
        <f t="shared" si="2"/>
        <v>2.3173707541403323E-2</v>
      </c>
      <c r="J34" s="150" t="s">
        <v>104</v>
      </c>
      <c r="K34" s="149">
        <f t="shared" si="6"/>
        <v>3.3700247986055487</v>
      </c>
      <c r="L34" s="61">
        <f t="shared" si="3"/>
        <v>9.0653667082489253</v>
      </c>
      <c r="M34" s="60">
        <f t="shared" si="4"/>
        <v>6.2169952157983701</v>
      </c>
      <c r="N34" s="62">
        <f t="shared" si="7"/>
        <v>23.267919766982413</v>
      </c>
      <c r="O34" s="58"/>
      <c r="P34" s="58"/>
      <c r="Q34" s="147"/>
      <c r="R34" s="58"/>
      <c r="S34" s="147"/>
      <c r="T34" s="58"/>
      <c r="U34" s="147"/>
      <c r="V34" s="147"/>
      <c r="W34" s="68">
        <f t="shared" si="8"/>
        <v>0</v>
      </c>
      <c r="X34" s="63"/>
      <c r="Y34" s="4">
        <f t="shared" si="9"/>
        <v>0</v>
      </c>
      <c r="Z34" s="64">
        <f t="shared" si="10"/>
        <v>0</v>
      </c>
      <c r="AA34" s="151">
        <f t="shared" si="11"/>
        <v>9.0653667082489253</v>
      </c>
      <c r="AE34" s="27"/>
    </row>
    <row r="35" spans="1:31" s="9" customFormat="1" x14ac:dyDescent="0.2">
      <c r="A35" s="55">
        <f t="shared" si="12"/>
        <v>24</v>
      </c>
      <c r="B35" s="148">
        <v>450</v>
      </c>
      <c r="C35" s="57"/>
      <c r="D35" s="58"/>
      <c r="E35" s="147">
        <v>160</v>
      </c>
      <c r="F35" s="58">
        <f t="shared" si="5"/>
        <v>65875.445995214526</v>
      </c>
      <c r="G35" s="59">
        <f t="shared" si="0"/>
        <v>2.3173707541403323E-2</v>
      </c>
      <c r="H35" s="59">
        <f t="shared" si="1"/>
        <v>2.3173707541403323E-2</v>
      </c>
      <c r="I35" s="59">
        <f t="shared" si="2"/>
        <v>2.3173707541403323E-2</v>
      </c>
      <c r="J35" s="150"/>
      <c r="K35" s="149">
        <f t="shared" si="6"/>
        <v>3.3700247986055487</v>
      </c>
      <c r="L35" s="61">
        <f t="shared" si="3"/>
        <v>0</v>
      </c>
      <c r="M35" s="60">
        <f t="shared" si="4"/>
        <v>6.2169952157983701</v>
      </c>
      <c r="N35" s="62">
        <f t="shared" si="7"/>
        <v>23.267919766982413</v>
      </c>
      <c r="O35" s="58"/>
      <c r="P35" s="58"/>
      <c r="Q35" s="147"/>
      <c r="R35" s="58"/>
      <c r="S35" s="147"/>
      <c r="T35" s="58"/>
      <c r="U35" s="147">
        <v>1</v>
      </c>
      <c r="V35" s="147"/>
      <c r="W35" s="68">
        <f t="shared" si="8"/>
        <v>0.2</v>
      </c>
      <c r="X35" s="63"/>
      <c r="Y35" s="4">
        <f t="shared" si="9"/>
        <v>0.2</v>
      </c>
      <c r="Z35" s="64">
        <f t="shared" si="10"/>
        <v>4.8535839533964831</v>
      </c>
      <c r="AA35" s="151">
        <f t="shared" si="11"/>
        <v>4.8535839533964831</v>
      </c>
      <c r="AE35" s="27"/>
    </row>
    <row r="36" spans="1:31" s="9" customFormat="1" x14ac:dyDescent="0.2">
      <c r="A36" s="55">
        <f t="shared" si="12"/>
        <v>25</v>
      </c>
      <c r="B36" s="148">
        <v>500</v>
      </c>
      <c r="C36" s="57"/>
      <c r="D36" s="58"/>
      <c r="E36" s="147">
        <v>160</v>
      </c>
      <c r="F36" s="58">
        <f t="shared" si="5"/>
        <v>73194.939994682805</v>
      </c>
      <c r="G36" s="59">
        <f t="shared" si="0"/>
        <v>2.286394644983749E-2</v>
      </c>
      <c r="H36" s="59">
        <f t="shared" si="1"/>
        <v>2.286394644983749E-2</v>
      </c>
      <c r="I36" s="59">
        <f t="shared" si="2"/>
        <v>2.286394644983749E-2</v>
      </c>
      <c r="J36" s="150" t="s">
        <v>105</v>
      </c>
      <c r="K36" s="149">
        <f t="shared" si="6"/>
        <v>4.1049110459213054</v>
      </c>
      <c r="L36" s="61">
        <f t="shared" si="3"/>
        <v>13.053617126029751</v>
      </c>
      <c r="M36" s="60">
        <f t="shared" si="4"/>
        <v>6.9077724619981895</v>
      </c>
      <c r="N36" s="62">
        <f t="shared" si="7"/>
        <v>28.725826872817795</v>
      </c>
      <c r="O36" s="58"/>
      <c r="P36" s="58"/>
      <c r="Q36" s="147"/>
      <c r="R36" s="58"/>
      <c r="S36" s="147"/>
      <c r="T36" s="58"/>
      <c r="U36" s="147"/>
      <c r="V36" s="147"/>
      <c r="W36" s="68">
        <f t="shared" si="8"/>
        <v>0</v>
      </c>
      <c r="X36" s="63"/>
      <c r="Y36" s="4">
        <f t="shared" si="9"/>
        <v>0</v>
      </c>
      <c r="Z36" s="64">
        <f t="shared" si="10"/>
        <v>0</v>
      </c>
      <c r="AA36" s="151">
        <f t="shared" si="11"/>
        <v>13.053617126029751</v>
      </c>
      <c r="AE36" s="27"/>
    </row>
    <row r="37" spans="1:31" s="9" customFormat="1" x14ac:dyDescent="0.2">
      <c r="A37" s="55">
        <f t="shared" si="12"/>
        <v>26</v>
      </c>
      <c r="B37" s="148">
        <v>500</v>
      </c>
      <c r="C37" s="57"/>
      <c r="D37" s="58"/>
      <c r="E37" s="147">
        <v>160</v>
      </c>
      <c r="F37" s="58">
        <f t="shared" si="5"/>
        <v>73194.939994682805</v>
      </c>
      <c r="G37" s="59">
        <f t="shared" si="0"/>
        <v>2.286394644983749E-2</v>
      </c>
      <c r="H37" s="59">
        <f t="shared" si="1"/>
        <v>2.286394644983749E-2</v>
      </c>
      <c r="I37" s="59">
        <f t="shared" si="2"/>
        <v>2.286394644983749E-2</v>
      </c>
      <c r="J37" s="150"/>
      <c r="K37" s="149">
        <f t="shared" si="6"/>
        <v>4.1049110459213054</v>
      </c>
      <c r="L37" s="61">
        <f t="shared" si="3"/>
        <v>0</v>
      </c>
      <c r="M37" s="60">
        <f t="shared" si="4"/>
        <v>6.9077724619981895</v>
      </c>
      <c r="N37" s="62">
        <f t="shared" si="7"/>
        <v>28.725826872817795</v>
      </c>
      <c r="O37" s="58"/>
      <c r="P37" s="58"/>
      <c r="Q37" s="147">
        <v>1</v>
      </c>
      <c r="R37" s="58"/>
      <c r="S37" s="147"/>
      <c r="T37" s="58"/>
      <c r="U37" s="147"/>
      <c r="V37" s="147"/>
      <c r="W37" s="68">
        <f t="shared" si="8"/>
        <v>0.5</v>
      </c>
      <c r="X37" s="63" t="s">
        <v>90</v>
      </c>
      <c r="Y37" s="4">
        <f t="shared" si="9"/>
        <v>0.5</v>
      </c>
      <c r="Z37" s="64">
        <f t="shared" si="10"/>
        <v>14.862913436408897</v>
      </c>
      <c r="AA37" s="151">
        <f t="shared" si="11"/>
        <v>14.862913436408897</v>
      </c>
      <c r="AE37" s="27"/>
    </row>
    <row r="38" spans="1:31" s="9" customFormat="1" x14ac:dyDescent="0.2">
      <c r="A38" s="55">
        <f t="shared" si="12"/>
        <v>27</v>
      </c>
      <c r="B38" s="148">
        <v>500</v>
      </c>
      <c r="C38" s="57"/>
      <c r="D38" s="58"/>
      <c r="E38" s="147">
        <v>160</v>
      </c>
      <c r="F38" s="58">
        <f t="shared" si="5"/>
        <v>73194.939994682805</v>
      </c>
      <c r="G38" s="59">
        <f t="shared" si="0"/>
        <v>2.286394644983749E-2</v>
      </c>
      <c r="H38" s="59">
        <f t="shared" si="1"/>
        <v>2.286394644983749E-2</v>
      </c>
      <c r="I38" s="59">
        <f t="shared" si="2"/>
        <v>2.286394644983749E-2</v>
      </c>
      <c r="J38" s="150" t="s">
        <v>106</v>
      </c>
      <c r="K38" s="149">
        <f t="shared" si="6"/>
        <v>4.1049110459213054</v>
      </c>
      <c r="L38" s="61">
        <f t="shared" si="3"/>
        <v>20.237211456392036</v>
      </c>
      <c r="M38" s="60">
        <f t="shared" si="4"/>
        <v>6.9077724619981895</v>
      </c>
      <c r="N38" s="62">
        <f t="shared" si="7"/>
        <v>28.725826872817795</v>
      </c>
      <c r="O38" s="58"/>
      <c r="P38" s="58"/>
      <c r="Q38" s="147"/>
      <c r="R38" s="58"/>
      <c r="S38" s="147"/>
      <c r="T38" s="58"/>
      <c r="U38" s="147"/>
      <c r="V38" s="147"/>
      <c r="W38" s="68">
        <f t="shared" si="8"/>
        <v>0</v>
      </c>
      <c r="X38" s="63"/>
      <c r="Y38" s="4">
        <f t="shared" si="9"/>
        <v>0</v>
      </c>
      <c r="Z38" s="64">
        <f t="shared" si="10"/>
        <v>0</v>
      </c>
      <c r="AA38" s="151">
        <f t="shared" si="11"/>
        <v>20.237211456392036</v>
      </c>
      <c r="AE38" s="27"/>
    </row>
    <row r="39" spans="1:31" s="9" customFormat="1" x14ac:dyDescent="0.2">
      <c r="A39" s="55">
        <f t="shared" si="12"/>
        <v>28</v>
      </c>
      <c r="B39" s="148">
        <v>500</v>
      </c>
      <c r="C39" s="57"/>
      <c r="D39" s="58"/>
      <c r="E39" s="147">
        <v>160</v>
      </c>
      <c r="F39" s="58">
        <f t="shared" si="5"/>
        <v>73194.939994682805</v>
      </c>
      <c r="G39" s="59">
        <f t="shared" si="0"/>
        <v>2.286394644983749E-2</v>
      </c>
      <c r="H39" s="59">
        <f t="shared" si="1"/>
        <v>2.286394644983749E-2</v>
      </c>
      <c r="I39" s="59">
        <f t="shared" si="2"/>
        <v>2.286394644983749E-2</v>
      </c>
      <c r="J39" s="150"/>
      <c r="K39" s="149">
        <f t="shared" si="6"/>
        <v>4.1049110459213054</v>
      </c>
      <c r="L39" s="61">
        <f t="shared" si="3"/>
        <v>0</v>
      </c>
      <c r="M39" s="60">
        <f t="shared" si="4"/>
        <v>6.9077724619981895</v>
      </c>
      <c r="N39" s="62">
        <f t="shared" si="7"/>
        <v>28.725826872817795</v>
      </c>
      <c r="O39" s="58"/>
      <c r="P39" s="58"/>
      <c r="Q39" s="147"/>
      <c r="R39" s="58"/>
      <c r="S39" s="147"/>
      <c r="T39" s="58"/>
      <c r="U39" s="147">
        <v>1</v>
      </c>
      <c r="V39" s="147"/>
      <c r="W39" s="68">
        <f t="shared" si="8"/>
        <v>0.2</v>
      </c>
      <c r="X39" s="63" t="s">
        <v>89</v>
      </c>
      <c r="Y39" s="4">
        <f t="shared" si="9"/>
        <v>0.2</v>
      </c>
      <c r="Z39" s="64">
        <f t="shared" si="10"/>
        <v>5.9451653745635591</v>
      </c>
      <c r="AA39" s="151">
        <f t="shared" si="11"/>
        <v>5.9451653745635591</v>
      </c>
      <c r="AE39" s="27"/>
    </row>
    <row r="40" spans="1:31" s="9" customFormat="1" x14ac:dyDescent="0.2">
      <c r="A40" s="55">
        <f t="shared" si="12"/>
        <v>29</v>
      </c>
      <c r="B40" s="148">
        <v>550</v>
      </c>
      <c r="C40" s="57"/>
      <c r="D40" s="58"/>
      <c r="E40" s="147">
        <v>160</v>
      </c>
      <c r="F40" s="58">
        <f t="shared" si="5"/>
        <v>80514.433994151084</v>
      </c>
      <c r="G40" s="59">
        <f t="shared" si="0"/>
        <v>2.2600800295604503E-2</v>
      </c>
      <c r="H40" s="59">
        <f t="shared" si="1"/>
        <v>2.2600800295604503E-2</v>
      </c>
      <c r="I40" s="59">
        <f t="shared" si="2"/>
        <v>2.2600800295604503E-2</v>
      </c>
      <c r="J40" s="150" t="s">
        <v>107</v>
      </c>
      <c r="K40" s="149">
        <f t="shared" si="6"/>
        <v>4.9097767408698987</v>
      </c>
      <c r="L40" s="61">
        <f t="shared" si="3"/>
        <v>8.9357936683832158</v>
      </c>
      <c r="M40" s="60">
        <f t="shared" si="4"/>
        <v>7.5985497081980089</v>
      </c>
      <c r="N40" s="62">
        <f t="shared" si="7"/>
        <v>34.758250516109541</v>
      </c>
      <c r="O40" s="58"/>
      <c r="P40" s="58"/>
      <c r="Q40" s="147"/>
      <c r="R40" s="58"/>
      <c r="S40" s="147"/>
      <c r="T40" s="58"/>
      <c r="U40" s="147"/>
      <c r="V40" s="147"/>
      <c r="W40" s="68">
        <f t="shared" si="8"/>
        <v>0</v>
      </c>
      <c r="X40" s="63"/>
      <c r="Y40" s="4">
        <f t="shared" si="9"/>
        <v>0</v>
      </c>
      <c r="Z40" s="64">
        <f t="shared" si="10"/>
        <v>0</v>
      </c>
      <c r="AA40" s="151">
        <f t="shared" si="11"/>
        <v>8.9357936683832158</v>
      </c>
      <c r="AE40" s="27"/>
    </row>
    <row r="41" spans="1:31" s="9" customFormat="1" x14ac:dyDescent="0.2">
      <c r="A41" s="55">
        <f t="shared" si="12"/>
        <v>30</v>
      </c>
      <c r="B41" s="148">
        <v>550</v>
      </c>
      <c r="C41" s="57"/>
      <c r="D41" s="58"/>
      <c r="E41" s="147">
        <v>160</v>
      </c>
      <c r="F41" s="58">
        <f t="shared" si="5"/>
        <v>80514.433994151084</v>
      </c>
      <c r="G41" s="59">
        <f t="shared" si="0"/>
        <v>2.2600800295604503E-2</v>
      </c>
      <c r="H41" s="59">
        <f t="shared" si="1"/>
        <v>2.2600800295604503E-2</v>
      </c>
      <c r="I41" s="59">
        <f t="shared" si="2"/>
        <v>2.2600800295604503E-2</v>
      </c>
      <c r="J41" s="150"/>
      <c r="K41" s="149">
        <f t="shared" si="6"/>
        <v>4.9097767408698987</v>
      </c>
      <c r="L41" s="61">
        <f t="shared" si="3"/>
        <v>0</v>
      </c>
      <c r="M41" s="60">
        <f t="shared" si="4"/>
        <v>7.5985497081980089</v>
      </c>
      <c r="N41" s="62">
        <f t="shared" si="7"/>
        <v>34.758250516109541</v>
      </c>
      <c r="O41" s="58"/>
      <c r="P41" s="58"/>
      <c r="Q41" s="147">
        <v>2</v>
      </c>
      <c r="R41" s="58"/>
      <c r="S41" s="147"/>
      <c r="T41" s="58"/>
      <c r="U41" s="147"/>
      <c r="V41" s="147"/>
      <c r="W41" s="68">
        <f t="shared" si="8"/>
        <v>1</v>
      </c>
      <c r="X41" s="63"/>
      <c r="Y41" s="4">
        <f t="shared" si="9"/>
        <v>1</v>
      </c>
      <c r="Z41" s="64">
        <f t="shared" si="10"/>
        <v>35.758250516109541</v>
      </c>
      <c r="AA41" s="151">
        <f t="shared" si="11"/>
        <v>35.758250516109541</v>
      </c>
      <c r="AE41" s="27"/>
    </row>
    <row r="42" spans="1:31" s="9" customFormat="1" x14ac:dyDescent="0.2">
      <c r="A42" s="55">
        <f t="shared" si="12"/>
        <v>31</v>
      </c>
      <c r="B42" s="148">
        <v>550</v>
      </c>
      <c r="C42" s="57"/>
      <c r="D42" s="58"/>
      <c r="E42" s="147">
        <v>160</v>
      </c>
      <c r="F42" s="58">
        <f t="shared" si="5"/>
        <v>80514.433994151084</v>
      </c>
      <c r="G42" s="59">
        <f t="shared" si="0"/>
        <v>2.2600800295604503E-2</v>
      </c>
      <c r="H42" s="59">
        <f t="shared" si="1"/>
        <v>2.2600800295604503E-2</v>
      </c>
      <c r="I42" s="59">
        <f t="shared" si="2"/>
        <v>2.2600800295604503E-2</v>
      </c>
      <c r="J42" s="147">
        <v>1.57</v>
      </c>
      <c r="K42" s="149">
        <f t="shared" si="6"/>
        <v>4.9097767408698987</v>
      </c>
      <c r="L42" s="61">
        <f t="shared" si="3"/>
        <v>7.7083494831657413</v>
      </c>
      <c r="M42" s="60">
        <f t="shared" si="4"/>
        <v>7.5985497081980089</v>
      </c>
      <c r="N42" s="62">
        <f t="shared" si="7"/>
        <v>34.758250516109541</v>
      </c>
      <c r="O42" s="58"/>
      <c r="P42" s="58"/>
      <c r="Q42" s="147"/>
      <c r="R42" s="58"/>
      <c r="S42" s="147"/>
      <c r="T42" s="58"/>
      <c r="U42" s="147"/>
      <c r="V42" s="147"/>
      <c r="W42" s="68">
        <f t="shared" si="8"/>
        <v>0</v>
      </c>
      <c r="X42" s="63"/>
      <c r="Y42" s="4">
        <f t="shared" si="9"/>
        <v>0</v>
      </c>
      <c r="Z42" s="64">
        <f t="shared" si="10"/>
        <v>0</v>
      </c>
      <c r="AA42" s="151">
        <f t="shared" si="11"/>
        <v>7.7083494831657413</v>
      </c>
      <c r="AE42" s="27"/>
    </row>
    <row r="43" spans="1:31" s="9" customFormat="1" x14ac:dyDescent="0.2">
      <c r="A43" s="55">
        <f t="shared" si="12"/>
        <v>32</v>
      </c>
      <c r="B43" s="148">
        <v>550</v>
      </c>
      <c r="C43" s="57"/>
      <c r="D43" s="58"/>
      <c r="E43" s="147">
        <v>160</v>
      </c>
      <c r="F43" s="58">
        <f t="shared" si="5"/>
        <v>80514.433994151084</v>
      </c>
      <c r="G43" s="59">
        <f t="shared" si="0"/>
        <v>2.2600800295604503E-2</v>
      </c>
      <c r="H43" s="59">
        <f t="shared" si="1"/>
        <v>2.2600800295604503E-2</v>
      </c>
      <c r="I43" s="59">
        <f t="shared" si="2"/>
        <v>2.2600800295604503E-2</v>
      </c>
      <c r="J43" s="147"/>
      <c r="K43" s="149">
        <f t="shared" si="6"/>
        <v>4.9097767408698987</v>
      </c>
      <c r="L43" s="61">
        <f t="shared" si="3"/>
        <v>0</v>
      </c>
      <c r="M43" s="60">
        <f t="shared" si="4"/>
        <v>7.5985497081980089</v>
      </c>
      <c r="N43" s="62">
        <f t="shared" si="7"/>
        <v>34.758250516109541</v>
      </c>
      <c r="O43" s="58"/>
      <c r="P43" s="58"/>
      <c r="Q43" s="147"/>
      <c r="R43" s="58"/>
      <c r="S43" s="147"/>
      <c r="T43" s="58"/>
      <c r="U43" s="147">
        <v>1</v>
      </c>
      <c r="V43" s="147"/>
      <c r="W43" s="68">
        <f t="shared" si="8"/>
        <v>0.2</v>
      </c>
      <c r="X43" s="63" t="s">
        <v>89</v>
      </c>
      <c r="Y43" s="4">
        <f t="shared" si="9"/>
        <v>0.2</v>
      </c>
      <c r="Z43" s="64">
        <f t="shared" si="10"/>
        <v>7.1516501032219084</v>
      </c>
      <c r="AA43" s="151">
        <f t="shared" si="11"/>
        <v>7.1516501032219084</v>
      </c>
      <c r="AE43" s="27"/>
    </row>
    <row r="44" spans="1:31" s="9" customFormat="1" x14ac:dyDescent="0.2">
      <c r="A44" s="55">
        <f t="shared" si="12"/>
        <v>33</v>
      </c>
      <c r="B44" s="148">
        <v>600</v>
      </c>
      <c r="C44" s="57"/>
      <c r="D44" s="58"/>
      <c r="E44" s="147">
        <v>160</v>
      </c>
      <c r="F44" s="58">
        <f t="shared" si="5"/>
        <v>87833.927993619349</v>
      </c>
      <c r="G44" s="59">
        <f t="shared" si="0"/>
        <v>2.2374269048375806E-2</v>
      </c>
      <c r="H44" s="59">
        <f t="shared" si="1"/>
        <v>2.2374269048375806E-2</v>
      </c>
      <c r="I44" s="59">
        <f t="shared" si="2"/>
        <v>2.2374269048375806E-2</v>
      </c>
      <c r="J44" s="147">
        <v>3.43</v>
      </c>
      <c r="K44" s="149">
        <f t="shared" si="6"/>
        <v>5.7844744118053999</v>
      </c>
      <c r="L44" s="61">
        <f t="shared" si="3"/>
        <v>19.840747232492522</v>
      </c>
      <c r="M44" s="60">
        <f t="shared" si="4"/>
        <v>8.2893269543978256</v>
      </c>
      <c r="N44" s="62">
        <f t="shared" si="7"/>
        <v>41.36519069685761</v>
      </c>
      <c r="O44" s="58"/>
      <c r="P44" s="58"/>
      <c r="Q44" s="147"/>
      <c r="R44" s="58"/>
      <c r="S44" s="147"/>
      <c r="T44" s="58"/>
      <c r="U44" s="147"/>
      <c r="V44" s="147"/>
      <c r="W44" s="68">
        <f t="shared" si="8"/>
        <v>0</v>
      </c>
      <c r="X44" s="63"/>
      <c r="Y44" s="4">
        <f t="shared" si="9"/>
        <v>0</v>
      </c>
      <c r="Z44" s="64">
        <f t="shared" si="10"/>
        <v>0</v>
      </c>
      <c r="AA44" s="151">
        <f t="shared" si="11"/>
        <v>19.840747232492522</v>
      </c>
      <c r="AE44" s="27"/>
    </row>
    <row r="45" spans="1:31" s="66" customFormat="1" x14ac:dyDescent="0.2">
      <c r="A45" s="79"/>
      <c r="B45" s="80"/>
      <c r="C45" s="80"/>
      <c r="D45" s="81"/>
      <c r="E45" s="82"/>
      <c r="F45" s="83"/>
      <c r="G45" s="82"/>
      <c r="H45" s="82"/>
      <c r="I45" s="82"/>
      <c r="J45" s="82"/>
      <c r="K45" s="82"/>
      <c r="L45" s="82"/>
      <c r="M45" s="84"/>
      <c r="N45" s="82"/>
      <c r="O45" s="85"/>
      <c r="P45" s="82"/>
      <c r="Q45" s="82"/>
      <c r="R45" s="82"/>
      <c r="S45" s="82"/>
      <c r="T45" s="82"/>
      <c r="U45" s="82"/>
      <c r="V45" s="82"/>
      <c r="W45" s="82"/>
      <c r="X45" s="82"/>
      <c r="Y45" s="83"/>
      <c r="Z45" s="85"/>
      <c r="AA45" s="144"/>
      <c r="AE45" s="67"/>
    </row>
    <row r="46" spans="1:31" s="66" customFormat="1" x14ac:dyDescent="0.2">
      <c r="A46" s="55"/>
      <c r="B46" s="56"/>
      <c r="C46" s="57"/>
      <c r="D46" s="58"/>
      <c r="E46" s="58"/>
      <c r="F46" s="58"/>
      <c r="G46" s="59"/>
      <c r="H46" s="59"/>
      <c r="I46" s="59"/>
      <c r="J46" s="58"/>
      <c r="K46" s="60"/>
      <c r="L46" s="61"/>
      <c r="M46" s="60"/>
      <c r="N46" s="62"/>
      <c r="O46" s="58"/>
      <c r="P46" s="58"/>
      <c r="Q46" s="58"/>
      <c r="R46" s="58"/>
      <c r="S46" s="58"/>
      <c r="T46" s="58"/>
      <c r="U46" s="58"/>
      <c r="V46" s="58"/>
      <c r="W46" s="58"/>
      <c r="X46" s="63"/>
      <c r="Y46" s="62"/>
      <c r="Z46" s="64"/>
      <c r="AA46" s="65"/>
      <c r="AE46" s="67"/>
    </row>
    <row r="47" spans="1:31" s="66" customFormat="1" x14ac:dyDescent="0.2">
      <c r="A47" s="55"/>
      <c r="B47" s="56"/>
      <c r="C47" s="57"/>
      <c r="D47" s="58"/>
      <c r="E47" s="58"/>
      <c r="F47" s="58"/>
      <c r="G47" s="59"/>
      <c r="H47" s="59"/>
      <c r="I47" s="59"/>
      <c r="J47" s="58"/>
      <c r="K47" s="60"/>
      <c r="L47" s="61"/>
      <c r="M47" s="60"/>
      <c r="N47" s="62"/>
      <c r="O47" s="58"/>
      <c r="P47" s="58"/>
      <c r="Q47" s="58"/>
      <c r="R47" s="58"/>
      <c r="S47" s="58"/>
      <c r="T47" s="58"/>
      <c r="U47" s="58"/>
      <c r="V47" s="58"/>
      <c r="W47" s="58"/>
      <c r="X47" s="63"/>
      <c r="Y47" s="62"/>
      <c r="Z47" s="64"/>
      <c r="AA47" s="65"/>
      <c r="AE47" s="67"/>
    </row>
    <row r="48" spans="1:31" s="66" customFormat="1" ht="13.5" thickBot="1" x14ac:dyDescent="0.25">
      <c r="A48" s="55"/>
      <c r="B48" s="56"/>
      <c r="C48" s="57"/>
      <c r="D48" s="58"/>
      <c r="E48" s="58"/>
      <c r="F48" s="58"/>
      <c r="G48" s="59"/>
      <c r="H48" s="59"/>
      <c r="I48" s="59"/>
      <c r="J48" s="58"/>
      <c r="K48" s="60"/>
      <c r="L48" s="61"/>
      <c r="M48" s="60"/>
      <c r="N48" s="62"/>
      <c r="O48" s="58"/>
      <c r="P48" s="58"/>
      <c r="Q48" s="58"/>
      <c r="R48" s="58"/>
      <c r="S48" s="58"/>
      <c r="T48" s="58"/>
      <c r="U48" s="58"/>
      <c r="V48" s="58"/>
      <c r="W48" s="58"/>
      <c r="X48" s="63"/>
      <c r="Y48" s="62"/>
      <c r="Z48" s="64"/>
      <c r="AA48" s="65"/>
      <c r="AE48" s="67"/>
    </row>
    <row r="49" spans="1:31" s="66" customFormat="1" ht="13.5" thickBot="1" x14ac:dyDescent="0.25">
      <c r="A49" s="55"/>
      <c r="B49" s="56"/>
      <c r="C49" s="57"/>
      <c r="D49" s="58"/>
      <c r="E49" s="58"/>
      <c r="F49" s="68"/>
      <c r="G49" s="59"/>
      <c r="H49" s="59"/>
      <c r="I49" s="59"/>
      <c r="J49" s="68"/>
      <c r="K49" s="60"/>
      <c r="L49" s="61"/>
      <c r="M49" s="60"/>
      <c r="N49" s="62"/>
      <c r="O49" s="58"/>
      <c r="P49" s="58"/>
      <c r="Q49" s="58"/>
      <c r="R49" s="58"/>
      <c r="S49" s="58"/>
      <c r="T49" s="58"/>
      <c r="U49" s="58"/>
      <c r="V49" s="58"/>
      <c r="W49" s="58"/>
      <c r="X49" s="63"/>
      <c r="Y49" s="62"/>
      <c r="Z49" s="95"/>
      <c r="AA49" s="96">
        <f>SUM(AA12:AA48)</f>
        <v>208.49454807767435</v>
      </c>
      <c r="AE49" s="67"/>
    </row>
    <row r="50" spans="1:31" s="66" customFormat="1" ht="13.5" thickBot="1" x14ac:dyDescent="0.25">
      <c r="A50" s="55"/>
      <c r="B50" s="56"/>
      <c r="C50" s="57"/>
      <c r="D50" s="58"/>
      <c r="E50" s="58"/>
      <c r="F50" s="58"/>
      <c r="G50" s="59"/>
      <c r="H50" s="59"/>
      <c r="I50" s="59"/>
      <c r="J50" s="58"/>
      <c r="K50" s="60"/>
      <c r="L50" s="61"/>
      <c r="M50" s="60"/>
      <c r="N50" s="62"/>
      <c r="O50" s="58"/>
      <c r="P50" s="58"/>
      <c r="Q50" s="58"/>
      <c r="R50" s="58"/>
      <c r="S50" s="58"/>
      <c r="T50" s="58"/>
      <c r="U50" s="58"/>
      <c r="V50" s="58"/>
      <c r="W50" s="58"/>
      <c r="X50" s="69"/>
      <c r="Y50" s="62"/>
      <c r="Z50" s="64"/>
      <c r="AA50" s="65"/>
      <c r="AE50" s="67"/>
    </row>
    <row r="51" spans="1:31" s="2" customFormat="1" x14ac:dyDescent="0.2">
      <c r="A51" s="98"/>
      <c r="B51" s="99"/>
      <c r="C51" s="100"/>
      <c r="D51" s="100"/>
      <c r="E51" s="100"/>
      <c r="F51" s="101"/>
      <c r="G51" s="101"/>
      <c r="H51" s="101"/>
      <c r="I51" s="101"/>
      <c r="J51" s="101"/>
      <c r="K51" s="101"/>
      <c r="L51" s="101"/>
      <c r="M51" s="102"/>
      <c r="N51" s="102"/>
      <c r="O51" s="102"/>
      <c r="P51" s="102"/>
      <c r="Q51" s="102"/>
      <c r="R51" s="102"/>
      <c r="S51" s="102"/>
      <c r="T51" s="102"/>
      <c r="U51" s="102"/>
      <c r="V51" s="102"/>
      <c r="W51" s="102"/>
      <c r="X51" s="102"/>
      <c r="Y51" s="103"/>
      <c r="Z51" s="104"/>
      <c r="AA51" s="105"/>
    </row>
    <row r="52" spans="1:31" s="2" customFormat="1" x14ac:dyDescent="0.2">
      <c r="A52" s="24"/>
      <c r="B52" s="29"/>
      <c r="C52" s="30"/>
      <c r="D52" s="30"/>
      <c r="E52" s="30"/>
      <c r="F52" s="6"/>
      <c r="G52" s="6"/>
      <c r="H52" s="6"/>
      <c r="I52" s="6"/>
      <c r="J52" s="6"/>
      <c r="K52" s="6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26"/>
      <c r="Z52" s="26"/>
      <c r="AA52" s="106">
        <f>AA49*1.2</f>
        <v>250.19345769320921</v>
      </c>
    </row>
    <row r="53" spans="1:31" s="2" customFormat="1" x14ac:dyDescent="0.2">
      <c r="A53" s="31"/>
      <c r="B53" s="32"/>
      <c r="C53" s="77"/>
      <c r="D53" s="77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 t="s">
        <v>79</v>
      </c>
      <c r="R53" s="33"/>
      <c r="S53" s="97">
        <f>AA49</f>
        <v>208.49454807767435</v>
      </c>
      <c r="T53" s="33"/>
      <c r="U53" s="33" t="s">
        <v>21</v>
      </c>
      <c r="V53" s="145">
        <f>B13</f>
        <v>50</v>
      </c>
      <c r="W53" s="33" t="s">
        <v>14</v>
      </c>
      <c r="X53" s="33"/>
      <c r="Y53" s="33"/>
      <c r="Z53" s="33"/>
      <c r="AA53" s="34"/>
    </row>
    <row r="54" spans="1:31" s="2" customFormat="1" x14ac:dyDescent="0.2">
      <c r="A54" s="31"/>
      <c r="B54" s="32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97"/>
      <c r="T54" s="33"/>
      <c r="U54" s="33"/>
      <c r="V54" s="33"/>
      <c r="W54" s="33"/>
      <c r="X54" s="33"/>
      <c r="Y54" s="33"/>
      <c r="Z54" s="33"/>
      <c r="AA54" s="34"/>
    </row>
    <row r="55" spans="1:31" s="2" customFormat="1" ht="13.5" thickBot="1" x14ac:dyDescent="0.25">
      <c r="A55" s="35"/>
      <c r="B55" s="36"/>
      <c r="C55" s="37"/>
      <c r="D55" s="37"/>
      <c r="E55" s="37"/>
      <c r="F55" s="38"/>
      <c r="G55" s="38"/>
      <c r="H55" s="38"/>
      <c r="I55" s="38"/>
      <c r="J55" s="38"/>
      <c r="K55" s="38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40"/>
      <c r="Z55" s="40"/>
      <c r="AA55" s="107"/>
    </row>
  </sheetData>
  <mergeCells count="4">
    <mergeCell ref="J4:N4"/>
    <mergeCell ref="O4:X4"/>
    <mergeCell ref="C5:E5"/>
    <mergeCell ref="C6:E6"/>
  </mergeCells>
  <pageMargins left="0.7" right="0.7" top="0.75" bottom="0.75" header="0.3" footer="0.3"/>
  <pageSetup paperSize="9" scale="58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787D-9318-4E01-98EC-EA61FD975CDA}">
  <sheetPr>
    <pageSetUpPr fitToPage="1"/>
  </sheetPr>
  <dimension ref="A1:CK29"/>
  <sheetViews>
    <sheetView tabSelected="1" zoomScale="115" zoomScaleNormal="115" workbookViewId="0">
      <selection activeCell="J38" sqref="J38"/>
    </sheetView>
  </sheetViews>
  <sheetFormatPr baseColWidth="10" defaultRowHeight="12.75" x14ac:dyDescent="0.2"/>
  <cols>
    <col min="1" max="1" width="15.5703125" style="7" bestFit="1" customWidth="1"/>
    <col min="2" max="2" width="10.5703125" style="41" bestFit="1" customWidth="1"/>
    <col min="3" max="3" width="7.7109375" style="7" customWidth="1"/>
    <col min="4" max="4" width="7.85546875" style="7" customWidth="1"/>
    <col min="5" max="5" width="9.7109375" style="7" customWidth="1"/>
    <col min="6" max="6" width="12.85546875" style="7" hidden="1" customWidth="1"/>
    <col min="7" max="9" width="17.28515625" style="7" hidden="1" customWidth="1"/>
    <col min="10" max="10" width="9.28515625" style="5" customWidth="1"/>
    <col min="11" max="11" width="12.85546875" style="7" customWidth="1"/>
    <col min="12" max="12" width="9.28515625" style="5" customWidth="1"/>
    <col min="13" max="13" width="9.140625" style="5" customWidth="1"/>
    <col min="14" max="14" width="10.5703125" style="5" customWidth="1"/>
    <col min="15" max="15" width="10.42578125" style="5" customWidth="1"/>
    <col min="16" max="17" width="8.42578125" style="5" bestFit="1" customWidth="1"/>
    <col min="18" max="18" width="6" style="5" bestFit="1" customWidth="1"/>
    <col min="19" max="19" width="8.5703125" style="5" customWidth="1"/>
    <col min="20" max="20" width="10.140625" style="5" customWidth="1"/>
    <col min="21" max="23" width="9" style="5" bestFit="1" customWidth="1"/>
    <col min="24" max="24" width="30.28515625" style="5" bestFit="1" customWidth="1"/>
    <col min="25" max="25" width="9" style="7" customWidth="1"/>
    <col min="26" max="26" width="10.140625" style="7" bestFit="1" customWidth="1"/>
    <col min="27" max="27" width="9.42578125" style="42" bestFit="1" customWidth="1"/>
    <col min="28" max="28" width="5.28515625" style="7" customWidth="1"/>
    <col min="29" max="29" width="6.140625" style="7" hidden="1" customWidth="1"/>
    <col min="30" max="30" width="5.5703125" style="7" hidden="1" customWidth="1"/>
    <col min="31" max="32" width="8" style="7" hidden="1" customWidth="1"/>
    <col min="33" max="33" width="12.42578125" style="7" bestFit="1" customWidth="1"/>
    <col min="34" max="16384" width="11.42578125" style="7"/>
  </cols>
  <sheetData>
    <row r="1" spans="1:89" ht="18" customHeight="1" x14ac:dyDescent="0.2">
      <c r="A1" s="43" t="s">
        <v>83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72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</row>
    <row r="2" spans="1:89" ht="18" customHeight="1" thickBot="1" x14ac:dyDescent="0.25">
      <c r="A2" s="140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2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</row>
    <row r="3" spans="1:89" ht="24" thickBot="1" x14ac:dyDescent="0.25">
      <c r="A3" s="131" t="s">
        <v>32</v>
      </c>
      <c r="B3" s="132">
        <v>1.5099999999999999E-5</v>
      </c>
      <c r="C3" s="133" t="s">
        <v>31</v>
      </c>
      <c r="D3" s="44"/>
      <c r="E3" s="44"/>
      <c r="F3" s="44"/>
      <c r="G3" s="44"/>
      <c r="H3" s="44"/>
      <c r="I3" s="44"/>
      <c r="J3" s="134"/>
      <c r="K3" s="135" t="s">
        <v>33</v>
      </c>
      <c r="L3" s="136">
        <f>0.15/1000</f>
        <v>1.4999999999999999E-4</v>
      </c>
      <c r="M3" s="137" t="s">
        <v>17</v>
      </c>
      <c r="N3" s="138" t="s">
        <v>34</v>
      </c>
      <c r="O3" s="136">
        <v>1.204</v>
      </c>
      <c r="P3" s="139" t="s">
        <v>35</v>
      </c>
      <c r="Q3" s="52"/>
      <c r="R3" s="53"/>
      <c r="S3" s="53"/>
      <c r="T3" s="53"/>
      <c r="U3" s="53"/>
      <c r="V3" s="53"/>
      <c r="W3" s="53"/>
      <c r="X3" s="53"/>
      <c r="Y3" s="108"/>
      <c r="Z3" s="108"/>
      <c r="AA3" s="10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</row>
    <row r="4" spans="1:89" ht="16.5" thickBot="1" x14ac:dyDescent="0.25">
      <c r="A4" s="126"/>
      <c r="B4" s="127"/>
      <c r="C4" s="128"/>
      <c r="D4" s="128"/>
      <c r="E4" s="128"/>
      <c r="F4" s="129"/>
      <c r="G4" s="128"/>
      <c r="H4" s="128"/>
      <c r="I4" s="128"/>
      <c r="J4" s="152" t="s">
        <v>88</v>
      </c>
      <c r="K4" s="153"/>
      <c r="L4" s="153"/>
      <c r="M4" s="153"/>
      <c r="N4" s="154"/>
      <c r="O4" s="153" t="s">
        <v>87</v>
      </c>
      <c r="P4" s="153"/>
      <c r="Q4" s="153"/>
      <c r="R4" s="153"/>
      <c r="S4" s="153"/>
      <c r="T4" s="153"/>
      <c r="U4" s="153"/>
      <c r="V4" s="153"/>
      <c r="W4" s="153"/>
      <c r="X4" s="155"/>
      <c r="Y4" s="130"/>
      <c r="Z4" s="109"/>
      <c r="AA4" s="110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</row>
    <row r="5" spans="1:89" s="2" customFormat="1" x14ac:dyDescent="0.2">
      <c r="A5" s="71" t="s">
        <v>1</v>
      </c>
      <c r="B5" s="19" t="s">
        <v>1</v>
      </c>
      <c r="C5" s="156"/>
      <c r="D5" s="157"/>
      <c r="E5" s="158"/>
      <c r="F5" s="10"/>
      <c r="G5" s="10"/>
      <c r="H5" s="10"/>
      <c r="I5" s="10"/>
      <c r="J5" s="10" t="s">
        <v>2</v>
      </c>
      <c r="K5" s="10"/>
      <c r="L5" s="10" t="s">
        <v>1</v>
      </c>
      <c r="M5" s="15" t="s">
        <v>1</v>
      </c>
      <c r="N5" s="8" t="s">
        <v>3</v>
      </c>
      <c r="O5" s="10" t="s">
        <v>38</v>
      </c>
      <c r="P5" s="10" t="s">
        <v>38</v>
      </c>
      <c r="Q5" s="10" t="s">
        <v>38</v>
      </c>
      <c r="R5" s="10" t="s">
        <v>38</v>
      </c>
      <c r="S5" s="10" t="s">
        <v>42</v>
      </c>
      <c r="T5" s="10" t="s">
        <v>43</v>
      </c>
      <c r="U5" s="10" t="s">
        <v>45</v>
      </c>
      <c r="V5" s="10" t="s">
        <v>45</v>
      </c>
      <c r="W5" s="10"/>
      <c r="X5" s="10" t="s">
        <v>2</v>
      </c>
      <c r="Y5" s="15" t="s">
        <v>2</v>
      </c>
      <c r="Z5" s="46" t="s">
        <v>2</v>
      </c>
      <c r="AA5" s="73" t="s">
        <v>0</v>
      </c>
    </row>
    <row r="6" spans="1:89" s="2" customFormat="1" ht="18" x14ac:dyDescent="0.2">
      <c r="A6" s="71" t="s">
        <v>5</v>
      </c>
      <c r="B6" s="16" t="s">
        <v>6</v>
      </c>
      <c r="C6" s="159" t="s">
        <v>20</v>
      </c>
      <c r="D6" s="160"/>
      <c r="E6" s="161"/>
      <c r="F6" s="10" t="s">
        <v>29</v>
      </c>
      <c r="G6" s="10" t="s">
        <v>36</v>
      </c>
      <c r="H6" s="10" t="s">
        <v>36</v>
      </c>
      <c r="I6" s="10" t="s">
        <v>30</v>
      </c>
      <c r="J6" s="10" t="s">
        <v>7</v>
      </c>
      <c r="K6" s="10" t="s">
        <v>8</v>
      </c>
      <c r="L6" s="10" t="s">
        <v>9</v>
      </c>
      <c r="M6" s="15" t="s">
        <v>10</v>
      </c>
      <c r="N6" s="8" t="s">
        <v>11</v>
      </c>
      <c r="O6" s="10" t="s">
        <v>50</v>
      </c>
      <c r="P6" s="10" t="s">
        <v>50</v>
      </c>
      <c r="Q6" s="10" t="s">
        <v>39</v>
      </c>
      <c r="R6" s="10" t="s">
        <v>39</v>
      </c>
      <c r="S6" s="10"/>
      <c r="T6" s="10" t="s">
        <v>44</v>
      </c>
      <c r="U6" s="10" t="s">
        <v>47</v>
      </c>
      <c r="V6" s="10" t="s">
        <v>48</v>
      </c>
      <c r="W6" s="10" t="s">
        <v>56</v>
      </c>
      <c r="X6" s="10" t="s">
        <v>12</v>
      </c>
      <c r="Y6" s="13" t="s">
        <v>53</v>
      </c>
      <c r="Z6" s="12" t="s">
        <v>52</v>
      </c>
      <c r="AA6" s="74" t="s">
        <v>4</v>
      </c>
    </row>
    <row r="7" spans="1:89" s="2" customFormat="1" x14ac:dyDescent="0.2">
      <c r="A7" s="71" t="s">
        <v>1</v>
      </c>
      <c r="B7" s="16"/>
      <c r="C7" s="22" t="s">
        <v>15</v>
      </c>
      <c r="D7" s="20" t="s">
        <v>16</v>
      </c>
      <c r="E7" s="23" t="s">
        <v>37</v>
      </c>
      <c r="F7" s="10"/>
      <c r="G7" s="10"/>
      <c r="H7" s="10"/>
      <c r="I7" s="10"/>
      <c r="J7" s="10"/>
      <c r="K7" s="10"/>
      <c r="L7" s="10"/>
      <c r="M7" s="15"/>
      <c r="N7" s="8" t="s">
        <v>21</v>
      </c>
      <c r="O7" s="11" t="s">
        <v>41</v>
      </c>
      <c r="P7" s="11" t="s">
        <v>40</v>
      </c>
      <c r="Q7" s="11" t="s">
        <v>41</v>
      </c>
      <c r="R7" s="11" t="s">
        <v>40</v>
      </c>
      <c r="S7" s="11"/>
      <c r="T7" s="11"/>
      <c r="U7" s="11"/>
      <c r="V7" s="10"/>
      <c r="W7" s="10"/>
      <c r="X7" s="10" t="s">
        <v>2</v>
      </c>
      <c r="Y7" s="15" t="s">
        <v>2</v>
      </c>
      <c r="Z7" s="21"/>
      <c r="AA7" s="74" t="s">
        <v>13</v>
      </c>
    </row>
    <row r="8" spans="1:89" s="2" customFormat="1" ht="18" x14ac:dyDescent="0.2">
      <c r="A8" s="71" t="s">
        <v>1</v>
      </c>
      <c r="B8" s="19" t="s">
        <v>1</v>
      </c>
      <c r="C8" s="17"/>
      <c r="D8" s="10"/>
      <c r="E8" s="14"/>
      <c r="F8" s="10"/>
      <c r="G8" s="10"/>
      <c r="H8" s="10"/>
      <c r="I8" s="10"/>
      <c r="J8" s="10" t="s">
        <v>2</v>
      </c>
      <c r="K8" s="10"/>
      <c r="L8" s="10"/>
      <c r="M8" s="15" t="s">
        <v>1</v>
      </c>
      <c r="N8" s="12" t="s">
        <v>51</v>
      </c>
      <c r="O8" s="12" t="s">
        <v>46</v>
      </c>
      <c r="P8" s="12" t="s">
        <v>46</v>
      </c>
      <c r="Q8" s="12" t="s">
        <v>46</v>
      </c>
      <c r="R8" s="12" t="s">
        <v>46</v>
      </c>
      <c r="S8" s="12" t="s">
        <v>46</v>
      </c>
      <c r="T8" s="12" t="s">
        <v>46</v>
      </c>
      <c r="U8" s="12" t="s">
        <v>46</v>
      </c>
      <c r="V8" s="12" t="s">
        <v>46</v>
      </c>
      <c r="W8" s="12"/>
      <c r="X8" s="10" t="s">
        <v>2</v>
      </c>
      <c r="Y8" s="15" t="s">
        <v>2</v>
      </c>
      <c r="Z8" s="21"/>
      <c r="AA8" s="74"/>
    </row>
    <row r="9" spans="1:89" s="2" customFormat="1" ht="18" x14ac:dyDescent="0.2">
      <c r="A9" s="71"/>
      <c r="B9" s="19"/>
      <c r="C9" s="17"/>
      <c r="D9" s="10"/>
      <c r="E9" s="14"/>
      <c r="F9" s="10"/>
      <c r="G9" s="10"/>
      <c r="H9" s="10"/>
      <c r="I9" s="10"/>
      <c r="J9" s="10"/>
      <c r="K9" s="10"/>
      <c r="L9" s="10"/>
      <c r="M9" s="15"/>
      <c r="N9" s="8"/>
      <c r="O9" s="12">
        <v>0.8</v>
      </c>
      <c r="P9" s="12">
        <v>0.5</v>
      </c>
      <c r="Q9" s="12">
        <v>0.5</v>
      </c>
      <c r="R9" s="12">
        <v>0.25</v>
      </c>
      <c r="S9" s="12">
        <v>0.25</v>
      </c>
      <c r="T9" s="12">
        <v>1.5</v>
      </c>
      <c r="U9" s="12">
        <v>0.2</v>
      </c>
      <c r="V9" s="12">
        <v>1.7</v>
      </c>
      <c r="W9" s="12"/>
      <c r="X9" s="10"/>
      <c r="Y9" s="15"/>
      <c r="Z9" s="21"/>
      <c r="AA9" s="74"/>
    </row>
    <row r="10" spans="1:89" s="2" customFormat="1" x14ac:dyDescent="0.2">
      <c r="A10" s="75"/>
      <c r="B10" s="47" t="s">
        <v>14</v>
      </c>
      <c r="C10" s="146" t="s">
        <v>19</v>
      </c>
      <c r="D10" s="25" t="s">
        <v>19</v>
      </c>
      <c r="E10" s="28" t="s">
        <v>19</v>
      </c>
      <c r="F10" s="25"/>
      <c r="G10" s="25"/>
      <c r="H10" s="25"/>
      <c r="I10" s="25"/>
      <c r="J10" s="25" t="s">
        <v>17</v>
      </c>
      <c r="K10" s="25" t="s">
        <v>22</v>
      </c>
      <c r="L10" s="25" t="s">
        <v>21</v>
      </c>
      <c r="M10" s="48" t="s">
        <v>18</v>
      </c>
      <c r="N10" s="49"/>
      <c r="O10" s="25" t="s">
        <v>54</v>
      </c>
      <c r="P10" s="25" t="s">
        <v>54</v>
      </c>
      <c r="Q10" s="25" t="s">
        <v>54</v>
      </c>
      <c r="R10" s="25" t="s">
        <v>54</v>
      </c>
      <c r="S10" s="25" t="s">
        <v>54</v>
      </c>
      <c r="T10" s="25" t="s">
        <v>54</v>
      </c>
      <c r="U10" s="25" t="s">
        <v>54</v>
      </c>
      <c r="V10" s="25" t="s">
        <v>54</v>
      </c>
      <c r="W10" s="25"/>
      <c r="X10" s="45"/>
      <c r="Y10" s="50"/>
      <c r="Z10" s="51" t="s">
        <v>21</v>
      </c>
      <c r="AA10" s="76" t="s">
        <v>21</v>
      </c>
    </row>
    <row r="11" spans="1:89" s="9" customFormat="1" x14ac:dyDescent="0.2">
      <c r="A11" s="143" t="s">
        <v>113</v>
      </c>
      <c r="B11" s="87"/>
      <c r="C11" s="88"/>
      <c r="D11" s="89"/>
      <c r="E11" s="90"/>
      <c r="F11" s="89"/>
      <c r="G11" s="89"/>
      <c r="H11" s="89"/>
      <c r="I11" s="89"/>
      <c r="J11" s="89"/>
      <c r="K11" s="89"/>
      <c r="L11" s="91"/>
      <c r="M11" s="89"/>
      <c r="N11" s="92"/>
      <c r="O11" s="89"/>
      <c r="P11" s="89"/>
      <c r="Q11" s="89"/>
      <c r="R11" s="89"/>
      <c r="S11" s="89"/>
      <c r="T11" s="89"/>
      <c r="U11" s="89"/>
      <c r="V11" s="89"/>
      <c r="W11" s="89"/>
      <c r="X11" s="90"/>
      <c r="Y11" s="92"/>
      <c r="Z11" s="93"/>
      <c r="AA11" s="94"/>
    </row>
    <row r="12" spans="1:89" s="9" customFormat="1" x14ac:dyDescent="0.2">
      <c r="A12" s="55">
        <v>1</v>
      </c>
      <c r="B12" s="148">
        <v>200</v>
      </c>
      <c r="C12" s="57"/>
      <c r="D12" s="58"/>
      <c r="E12" s="147">
        <v>125</v>
      </c>
      <c r="F12" s="58">
        <f>M12*(E12/1000)/$B$3</f>
        <v>37475.809277277593</v>
      </c>
      <c r="G12" s="59">
        <f t="shared" ref="G12:G18" si="0">IF(F12&lt;2000,64/F12,0.11*POWER((($L$3/(E12/1000))+(68/F12)),0.25))</f>
        <v>2.5774879623136779E-2</v>
      </c>
      <c r="H12" s="59">
        <f t="shared" ref="H12:H18" si="1">IF(G12&lt;0.018,G12*0.85+0.0028,G12)</f>
        <v>2.5774879623136779E-2</v>
      </c>
      <c r="I12" s="59">
        <f t="shared" ref="I12:I18" si="2">IF(F12&lt;2000,G12,H12)</f>
        <v>2.5774879623136779E-2</v>
      </c>
      <c r="J12" s="150" t="s">
        <v>108</v>
      </c>
      <c r="K12" s="149">
        <f>I12/(E12/1000)*$O$3*M12*M12/2</f>
        <v>2.5440112799675823</v>
      </c>
      <c r="L12" s="61">
        <f t="shared" ref="L12:L18" si="3">J12*K12</f>
        <v>26.25419640926545</v>
      </c>
      <c r="M12" s="60">
        <f t="shared" ref="M12:M18" si="4">IF(C12=0,B12/3600/3.14159/(E12/1000)/(E12/1000)*4,(B12/3600)/(C12/1000)/(D12/1000))</f>
        <v>4.5270777606951329</v>
      </c>
      <c r="N12" s="62">
        <f>$O$3*M12*M12/2</f>
        <v>12.337648696931037</v>
      </c>
      <c r="O12" s="58"/>
      <c r="P12" s="58"/>
      <c r="Q12" s="147"/>
      <c r="R12" s="58"/>
      <c r="S12" s="147"/>
      <c r="T12" s="58"/>
      <c r="U12" s="147"/>
      <c r="V12" s="147"/>
      <c r="W12" s="68">
        <f>SUMPRODUCT($O$9:$V$9,O12:V12)</f>
        <v>0</v>
      </c>
      <c r="X12" s="111"/>
      <c r="Y12" s="4">
        <f>Q12*$Q$9+R12*$R$9+S12*$S$9+T12*$T$9+U12*$U$9+V12*$V$9+O12*$O$9+P12*$P$9</f>
        <v>0</v>
      </c>
      <c r="Z12" s="64">
        <f>N12*Y12+W12</f>
        <v>0</v>
      </c>
      <c r="AA12" s="151">
        <f>L12+Z12</f>
        <v>26.25419640926545</v>
      </c>
      <c r="AE12" s="27"/>
      <c r="AF12" s="9" t="s">
        <v>23</v>
      </c>
    </row>
    <row r="13" spans="1:89" s="9" customFormat="1" x14ac:dyDescent="0.2">
      <c r="A13" s="55">
        <v>2</v>
      </c>
      <c r="B13" s="148">
        <v>200</v>
      </c>
      <c r="C13" s="57"/>
      <c r="D13" s="58"/>
      <c r="E13" s="147">
        <v>125</v>
      </c>
      <c r="F13" s="58">
        <f t="shared" ref="F13:F18" si="5">M13*(E13/1000)/$B$3</f>
        <v>37475.809277277593</v>
      </c>
      <c r="G13" s="59">
        <f t="shared" si="0"/>
        <v>2.5774879623136779E-2</v>
      </c>
      <c r="H13" s="59">
        <f t="shared" si="1"/>
        <v>2.5774879623136779E-2</v>
      </c>
      <c r="I13" s="59">
        <f t="shared" si="2"/>
        <v>2.5774879623136779E-2</v>
      </c>
      <c r="J13" s="150"/>
      <c r="K13" s="149">
        <f t="shared" ref="K13:K18" si="6">I13/(E13/1000)*$O$3*M13*M13/2</f>
        <v>2.5440112799675823</v>
      </c>
      <c r="L13" s="61">
        <f t="shared" si="3"/>
        <v>0</v>
      </c>
      <c r="M13" s="60">
        <f t="shared" si="4"/>
        <v>4.5270777606951329</v>
      </c>
      <c r="N13" s="62">
        <f t="shared" ref="N13:N18" si="7">$O$3*M13*M13/2</f>
        <v>12.337648696931037</v>
      </c>
      <c r="O13" s="58"/>
      <c r="P13" s="58"/>
      <c r="Q13" s="147"/>
      <c r="R13" s="58"/>
      <c r="S13" s="147"/>
      <c r="T13" s="58"/>
      <c r="U13" s="147">
        <v>3</v>
      </c>
      <c r="V13" s="147"/>
      <c r="W13" s="68">
        <f t="shared" ref="W13:W18" si="8">SUMPRODUCT($O$9:$V$9,O13:V13)</f>
        <v>0.60000000000000009</v>
      </c>
      <c r="X13" s="63" t="s">
        <v>89</v>
      </c>
      <c r="Y13" s="4">
        <f t="shared" ref="Y13:Y18" si="9">Q13*$Q$9+R13*$R$9+S13*$S$9+T13*$T$9+U13*$U$9+V13*$V$9+O13*$O$9+P13*$P$9</f>
        <v>0.60000000000000009</v>
      </c>
      <c r="Z13" s="64">
        <f t="shared" ref="Z13:Z18" si="10">N13*Y13+W13</f>
        <v>8.002589218158624</v>
      </c>
      <c r="AA13" s="151">
        <f t="shared" ref="AA13:AA18" si="11">L13+Z13</f>
        <v>8.002589218158624</v>
      </c>
      <c r="AE13" s="27"/>
      <c r="AF13" s="9" t="s">
        <v>24</v>
      </c>
    </row>
    <row r="14" spans="1:89" s="9" customFormat="1" x14ac:dyDescent="0.2">
      <c r="A14" s="55">
        <f>A13+1</f>
        <v>3</v>
      </c>
      <c r="B14" s="148">
        <v>350</v>
      </c>
      <c r="C14" s="57"/>
      <c r="D14" s="58"/>
      <c r="E14" s="147">
        <v>160</v>
      </c>
      <c r="F14" s="58">
        <f t="shared" si="5"/>
        <v>51236.457996277953</v>
      </c>
      <c r="G14" s="59">
        <f t="shared" si="0"/>
        <v>2.3996306152523333E-2</v>
      </c>
      <c r="H14" s="59">
        <f t="shared" si="1"/>
        <v>2.3996306152523333E-2</v>
      </c>
      <c r="I14" s="59">
        <f t="shared" si="2"/>
        <v>2.3996306152523333E-2</v>
      </c>
      <c r="J14" s="150" t="s">
        <v>109</v>
      </c>
      <c r="K14" s="149">
        <f t="shared" si="6"/>
        <v>2.1110233168813344</v>
      </c>
      <c r="L14" s="61">
        <f t="shared" si="3"/>
        <v>19.231422416788956</v>
      </c>
      <c r="M14" s="60">
        <f t="shared" si="4"/>
        <v>4.8354407233987313</v>
      </c>
      <c r="N14" s="62">
        <f t="shared" si="7"/>
        <v>14.075655167680713</v>
      </c>
      <c r="O14" s="58"/>
      <c r="P14" s="58"/>
      <c r="Q14" s="147"/>
      <c r="R14" s="58"/>
      <c r="S14" s="147"/>
      <c r="T14" s="58"/>
      <c r="U14" s="147"/>
      <c r="V14" s="147"/>
      <c r="W14" s="68">
        <f t="shared" si="8"/>
        <v>0</v>
      </c>
      <c r="X14" s="63"/>
      <c r="Y14" s="4">
        <f t="shared" si="9"/>
        <v>0</v>
      </c>
      <c r="Z14" s="64">
        <f t="shared" si="10"/>
        <v>0</v>
      </c>
      <c r="AA14" s="151">
        <f t="shared" si="11"/>
        <v>19.231422416788956</v>
      </c>
      <c r="AE14" s="27"/>
    </row>
    <row r="15" spans="1:89" s="9" customFormat="1" x14ac:dyDescent="0.2">
      <c r="A15" s="55">
        <f t="shared" ref="A15:A18" si="12">A14+1</f>
        <v>4</v>
      </c>
      <c r="B15" s="148">
        <v>350</v>
      </c>
      <c r="C15" s="57"/>
      <c r="D15" s="58"/>
      <c r="E15" s="147">
        <v>160</v>
      </c>
      <c r="F15" s="58">
        <f t="shared" si="5"/>
        <v>51236.457996277953</v>
      </c>
      <c r="G15" s="59">
        <f t="shared" si="0"/>
        <v>2.3996306152523333E-2</v>
      </c>
      <c r="H15" s="59">
        <f t="shared" si="1"/>
        <v>2.3996306152523333E-2</v>
      </c>
      <c r="I15" s="59">
        <f t="shared" si="2"/>
        <v>2.3996306152523333E-2</v>
      </c>
      <c r="J15" s="150"/>
      <c r="K15" s="149">
        <f t="shared" si="6"/>
        <v>2.1110233168813344</v>
      </c>
      <c r="L15" s="61">
        <f t="shared" si="3"/>
        <v>0</v>
      </c>
      <c r="M15" s="60">
        <f t="shared" si="4"/>
        <v>4.8354407233987313</v>
      </c>
      <c r="N15" s="62">
        <f t="shared" si="7"/>
        <v>14.075655167680713</v>
      </c>
      <c r="O15" s="58"/>
      <c r="P15" s="58"/>
      <c r="Q15" s="147"/>
      <c r="R15" s="58"/>
      <c r="S15" s="147"/>
      <c r="T15" s="58"/>
      <c r="U15" s="147">
        <v>4</v>
      </c>
      <c r="V15" s="147"/>
      <c r="W15" s="68">
        <f t="shared" si="8"/>
        <v>0.8</v>
      </c>
      <c r="X15" s="63" t="s">
        <v>89</v>
      </c>
      <c r="Y15" s="4">
        <f t="shared" si="9"/>
        <v>0.8</v>
      </c>
      <c r="Z15" s="64">
        <f t="shared" si="10"/>
        <v>12.060524134144572</v>
      </c>
      <c r="AA15" s="151">
        <f t="shared" si="11"/>
        <v>12.060524134144572</v>
      </c>
      <c r="AE15" s="27"/>
    </row>
    <row r="16" spans="1:89" s="9" customFormat="1" x14ac:dyDescent="0.2">
      <c r="A16" s="55">
        <f t="shared" si="12"/>
        <v>5</v>
      </c>
      <c r="B16" s="148">
        <v>550</v>
      </c>
      <c r="C16" s="57"/>
      <c r="D16" s="58"/>
      <c r="E16" s="147">
        <v>200</v>
      </c>
      <c r="F16" s="58">
        <f t="shared" si="5"/>
        <v>64411.547195320862</v>
      </c>
      <c r="G16" s="59">
        <f t="shared" si="0"/>
        <v>2.26753900225855E-2</v>
      </c>
      <c r="H16" s="59">
        <f t="shared" si="1"/>
        <v>2.26753900225855E-2</v>
      </c>
      <c r="I16" s="59">
        <f t="shared" si="2"/>
        <v>2.26753900225855E-2</v>
      </c>
      <c r="J16" s="150" t="s">
        <v>110</v>
      </c>
      <c r="K16" s="149">
        <f t="shared" si="6"/>
        <v>1.6141453044848995</v>
      </c>
      <c r="L16" s="61">
        <f t="shared" si="3"/>
        <v>20.047684681702449</v>
      </c>
      <c r="M16" s="60">
        <f t="shared" si="4"/>
        <v>4.8630718132467248</v>
      </c>
      <c r="N16" s="62">
        <f t="shared" si="7"/>
        <v>14.236979411398462</v>
      </c>
      <c r="O16" s="58"/>
      <c r="P16" s="58"/>
      <c r="Q16" s="147"/>
      <c r="R16" s="58"/>
      <c r="S16" s="147"/>
      <c r="T16" s="58"/>
      <c r="U16" s="147"/>
      <c r="V16" s="147"/>
      <c r="W16" s="68">
        <f t="shared" si="8"/>
        <v>0</v>
      </c>
      <c r="X16" s="63"/>
      <c r="Y16" s="4">
        <f t="shared" si="9"/>
        <v>0</v>
      </c>
      <c r="Z16" s="64">
        <f t="shared" si="10"/>
        <v>0</v>
      </c>
      <c r="AA16" s="151">
        <f t="shared" si="11"/>
        <v>20.047684681702449</v>
      </c>
      <c r="AE16" s="27"/>
    </row>
    <row r="17" spans="1:31" s="9" customFormat="1" x14ac:dyDescent="0.2">
      <c r="A17" s="55">
        <f t="shared" si="12"/>
        <v>6</v>
      </c>
      <c r="B17" s="148">
        <v>200</v>
      </c>
      <c r="C17" s="57"/>
      <c r="D17" s="58"/>
      <c r="E17" s="147">
        <v>125</v>
      </c>
      <c r="F17" s="58">
        <f t="shared" si="5"/>
        <v>37475.809277277593</v>
      </c>
      <c r="G17" s="59">
        <f t="shared" si="0"/>
        <v>2.5774879623136779E-2</v>
      </c>
      <c r="H17" s="59">
        <f t="shared" si="1"/>
        <v>2.5774879623136779E-2</v>
      </c>
      <c r="I17" s="59">
        <f t="shared" si="2"/>
        <v>2.5774879623136779E-2</v>
      </c>
      <c r="J17" s="150"/>
      <c r="K17" s="149">
        <f t="shared" si="6"/>
        <v>2.5440112799675823</v>
      </c>
      <c r="L17" s="61">
        <f t="shared" si="3"/>
        <v>0</v>
      </c>
      <c r="M17" s="60">
        <f t="shared" si="4"/>
        <v>4.5270777606951329</v>
      </c>
      <c r="N17" s="62">
        <f t="shared" si="7"/>
        <v>12.337648696931037</v>
      </c>
      <c r="O17" s="58"/>
      <c r="P17" s="58"/>
      <c r="Q17" s="147">
        <v>1</v>
      </c>
      <c r="R17" s="58"/>
      <c r="S17" s="147"/>
      <c r="T17" s="58"/>
      <c r="U17" s="147"/>
      <c r="V17" s="147"/>
      <c r="W17" s="68">
        <f t="shared" si="8"/>
        <v>0.5</v>
      </c>
      <c r="X17" s="63" t="s">
        <v>90</v>
      </c>
      <c r="Y17" s="4">
        <f t="shared" si="9"/>
        <v>0.5</v>
      </c>
      <c r="Z17" s="64">
        <f t="shared" si="10"/>
        <v>6.6688243484655185</v>
      </c>
      <c r="AA17" s="151">
        <f t="shared" si="11"/>
        <v>6.6688243484655185</v>
      </c>
      <c r="AE17" s="27"/>
    </row>
    <row r="18" spans="1:31" s="9" customFormat="1" x14ac:dyDescent="0.2">
      <c r="A18" s="55">
        <f t="shared" si="12"/>
        <v>7</v>
      </c>
      <c r="B18" s="148">
        <v>550</v>
      </c>
      <c r="C18" s="57"/>
      <c r="D18" s="58"/>
      <c r="E18" s="147">
        <v>200</v>
      </c>
      <c r="F18" s="58">
        <f t="shared" si="5"/>
        <v>64411.547195320862</v>
      </c>
      <c r="G18" s="59">
        <f t="shared" si="0"/>
        <v>2.26753900225855E-2</v>
      </c>
      <c r="H18" s="59">
        <f t="shared" si="1"/>
        <v>2.26753900225855E-2</v>
      </c>
      <c r="I18" s="59">
        <f t="shared" si="2"/>
        <v>2.26753900225855E-2</v>
      </c>
      <c r="J18" s="150"/>
      <c r="K18" s="149">
        <f t="shared" si="6"/>
        <v>1.6141453044848995</v>
      </c>
      <c r="L18" s="61">
        <f t="shared" si="3"/>
        <v>0</v>
      </c>
      <c r="M18" s="60">
        <f t="shared" si="4"/>
        <v>4.8630718132467248</v>
      </c>
      <c r="N18" s="62">
        <f t="shared" si="7"/>
        <v>14.236979411398462</v>
      </c>
      <c r="O18" s="58"/>
      <c r="P18" s="58"/>
      <c r="Q18" s="147"/>
      <c r="R18" s="58"/>
      <c r="S18" s="147"/>
      <c r="T18" s="58"/>
      <c r="U18" s="147">
        <v>3</v>
      </c>
      <c r="V18" s="147"/>
      <c r="W18" s="68">
        <f t="shared" si="8"/>
        <v>0.60000000000000009</v>
      </c>
      <c r="X18" s="63" t="s">
        <v>89</v>
      </c>
      <c r="Y18" s="4">
        <f t="shared" si="9"/>
        <v>0.60000000000000009</v>
      </c>
      <c r="Z18" s="64">
        <f t="shared" si="10"/>
        <v>9.1421876468390781</v>
      </c>
      <c r="AA18" s="151">
        <f t="shared" si="11"/>
        <v>9.1421876468390781</v>
      </c>
      <c r="AE18" s="27"/>
    </row>
    <row r="19" spans="1:31" s="66" customFormat="1" x14ac:dyDescent="0.2">
      <c r="A19" s="79"/>
      <c r="B19" s="80"/>
      <c r="C19" s="80"/>
      <c r="D19" s="81"/>
      <c r="E19" s="82"/>
      <c r="F19" s="83"/>
      <c r="G19" s="82"/>
      <c r="H19" s="82"/>
      <c r="I19" s="82"/>
      <c r="J19" s="82"/>
      <c r="K19" s="82"/>
      <c r="L19" s="82"/>
      <c r="M19" s="84"/>
      <c r="N19" s="82"/>
      <c r="O19" s="85"/>
      <c r="P19" s="82"/>
      <c r="Q19" s="82"/>
      <c r="R19" s="82"/>
      <c r="S19" s="82"/>
      <c r="T19" s="82"/>
      <c r="U19" s="82"/>
      <c r="V19" s="82"/>
      <c r="W19" s="82"/>
      <c r="X19" s="82"/>
      <c r="Y19" s="83"/>
      <c r="Z19" s="85"/>
      <c r="AA19" s="144"/>
      <c r="AE19" s="67"/>
    </row>
    <row r="20" spans="1:31" s="66" customFormat="1" x14ac:dyDescent="0.2">
      <c r="A20" s="55"/>
      <c r="B20" s="56"/>
      <c r="C20" s="57"/>
      <c r="D20" s="58"/>
      <c r="E20" s="58"/>
      <c r="F20" s="58"/>
      <c r="G20" s="59"/>
      <c r="H20" s="59"/>
      <c r="I20" s="59"/>
      <c r="J20" s="58"/>
      <c r="K20" s="60"/>
      <c r="L20" s="61"/>
      <c r="M20" s="60"/>
      <c r="N20" s="62"/>
      <c r="O20" s="58"/>
      <c r="P20" s="58"/>
      <c r="Q20" s="58"/>
      <c r="R20" s="58"/>
      <c r="S20" s="58"/>
      <c r="T20" s="58"/>
      <c r="U20" s="58"/>
      <c r="V20" s="58"/>
      <c r="W20" s="58"/>
      <c r="X20" s="63"/>
      <c r="Y20" s="62"/>
      <c r="Z20" s="64"/>
      <c r="AA20" s="65"/>
      <c r="AE20" s="67"/>
    </row>
    <row r="21" spans="1:31" s="66" customFormat="1" x14ac:dyDescent="0.2">
      <c r="A21" s="55"/>
      <c r="B21" s="56"/>
      <c r="C21" s="57"/>
      <c r="D21" s="58"/>
      <c r="E21" s="58"/>
      <c r="F21" s="58"/>
      <c r="G21" s="59"/>
      <c r="H21" s="59"/>
      <c r="I21" s="59"/>
      <c r="J21" s="58"/>
      <c r="K21" s="60"/>
      <c r="L21" s="61"/>
      <c r="M21" s="60"/>
      <c r="N21" s="62"/>
      <c r="O21" s="58"/>
      <c r="P21" s="58"/>
      <c r="Q21" s="58"/>
      <c r="R21" s="58"/>
      <c r="S21" s="58"/>
      <c r="T21" s="58"/>
      <c r="U21" s="58"/>
      <c r="V21" s="58"/>
      <c r="W21" s="58"/>
      <c r="X21" s="63"/>
      <c r="Y21" s="62"/>
      <c r="Z21" s="64"/>
      <c r="AA21" s="65"/>
      <c r="AE21" s="67"/>
    </row>
    <row r="22" spans="1:31" s="66" customFormat="1" ht="13.5" thickBot="1" x14ac:dyDescent="0.25">
      <c r="A22" s="55"/>
      <c r="B22" s="56"/>
      <c r="C22" s="57"/>
      <c r="D22" s="58"/>
      <c r="E22" s="58"/>
      <c r="F22" s="58"/>
      <c r="G22" s="59"/>
      <c r="H22" s="59"/>
      <c r="I22" s="59"/>
      <c r="J22" s="58"/>
      <c r="K22" s="60"/>
      <c r="L22" s="61"/>
      <c r="M22" s="60"/>
      <c r="N22" s="62"/>
      <c r="O22" s="58"/>
      <c r="P22" s="58"/>
      <c r="Q22" s="58"/>
      <c r="R22" s="58"/>
      <c r="S22" s="58"/>
      <c r="T22" s="58"/>
      <c r="U22" s="58"/>
      <c r="V22" s="58"/>
      <c r="W22" s="58"/>
      <c r="X22" s="63"/>
      <c r="Y22" s="62"/>
      <c r="Z22" s="64"/>
      <c r="AA22" s="65"/>
      <c r="AE22" s="67"/>
    </row>
    <row r="23" spans="1:31" s="66" customFormat="1" ht="13.5" thickBot="1" x14ac:dyDescent="0.25">
      <c r="A23" s="55"/>
      <c r="B23" s="56"/>
      <c r="C23" s="57"/>
      <c r="D23" s="58"/>
      <c r="E23" s="58"/>
      <c r="F23" s="68"/>
      <c r="G23" s="59"/>
      <c r="H23" s="59"/>
      <c r="I23" s="59"/>
      <c r="J23" s="68"/>
      <c r="K23" s="60"/>
      <c r="L23" s="61"/>
      <c r="M23" s="60"/>
      <c r="N23" s="62"/>
      <c r="O23" s="58"/>
      <c r="P23" s="58"/>
      <c r="Q23" s="58"/>
      <c r="R23" s="58"/>
      <c r="S23" s="58"/>
      <c r="T23" s="58"/>
      <c r="U23" s="58"/>
      <c r="V23" s="58"/>
      <c r="W23" s="58"/>
      <c r="X23" s="63"/>
      <c r="Y23" s="62"/>
      <c r="Z23" s="95"/>
      <c r="AA23" s="96">
        <f>SUM(AA12:AA22)</f>
        <v>101.40742885536464</v>
      </c>
      <c r="AE23" s="67"/>
    </row>
    <row r="24" spans="1:31" s="66" customFormat="1" ht="13.5" thickBot="1" x14ac:dyDescent="0.25">
      <c r="A24" s="55"/>
      <c r="B24" s="56"/>
      <c r="C24" s="57"/>
      <c r="D24" s="58"/>
      <c r="E24" s="58"/>
      <c r="F24" s="58"/>
      <c r="G24" s="59"/>
      <c r="H24" s="59"/>
      <c r="I24" s="59"/>
      <c r="J24" s="58"/>
      <c r="K24" s="60"/>
      <c r="L24" s="61"/>
      <c r="M24" s="60"/>
      <c r="N24" s="62"/>
      <c r="O24" s="58"/>
      <c r="P24" s="58"/>
      <c r="Q24" s="58"/>
      <c r="R24" s="58"/>
      <c r="S24" s="58"/>
      <c r="T24" s="58"/>
      <c r="U24" s="58"/>
      <c r="V24" s="58"/>
      <c r="W24" s="58"/>
      <c r="X24" s="69"/>
      <c r="Y24" s="62"/>
      <c r="Z24" s="64"/>
      <c r="AA24" s="65"/>
      <c r="AE24" s="67"/>
    </row>
    <row r="25" spans="1:31" s="2" customFormat="1" x14ac:dyDescent="0.2">
      <c r="A25" s="98"/>
      <c r="B25" s="99"/>
      <c r="C25" s="100"/>
      <c r="D25" s="100"/>
      <c r="E25" s="100"/>
      <c r="F25" s="101"/>
      <c r="G25" s="101"/>
      <c r="H25" s="101"/>
      <c r="I25" s="101"/>
      <c r="J25" s="101"/>
      <c r="K25" s="101"/>
      <c r="L25" s="101"/>
      <c r="M25" s="102"/>
      <c r="N25" s="102"/>
      <c r="O25" s="102"/>
      <c r="P25" s="102"/>
      <c r="Q25" s="102"/>
      <c r="R25" s="102"/>
      <c r="S25" s="102"/>
      <c r="T25" s="102"/>
      <c r="U25" s="102"/>
      <c r="V25" s="102"/>
      <c r="W25" s="102"/>
      <c r="X25" s="102"/>
      <c r="Y25" s="103"/>
      <c r="Z25" s="104"/>
      <c r="AA25" s="105"/>
    </row>
    <row r="26" spans="1:31" s="2" customFormat="1" x14ac:dyDescent="0.2">
      <c r="A26" s="24"/>
      <c r="B26" s="29"/>
      <c r="C26" s="30"/>
      <c r="D26" s="30"/>
      <c r="E26" s="30"/>
      <c r="F26" s="6"/>
      <c r="G26" s="6"/>
      <c r="H26" s="6"/>
      <c r="I26" s="6"/>
      <c r="J26" s="6"/>
      <c r="K26" s="6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26"/>
      <c r="Z26" s="26"/>
      <c r="AA26" s="106">
        <f>AA23*1.2</f>
        <v>121.68891462643757</v>
      </c>
    </row>
    <row r="27" spans="1:31" s="2" customFormat="1" x14ac:dyDescent="0.2">
      <c r="A27" s="31"/>
      <c r="B27" s="32"/>
      <c r="C27" s="77"/>
      <c r="D27" s="77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 t="s">
        <v>58</v>
      </c>
      <c r="R27" s="33"/>
      <c r="S27" s="97">
        <f>AA23</f>
        <v>101.40742885536464</v>
      </c>
      <c r="T27" s="33"/>
      <c r="U27" s="33" t="s">
        <v>21</v>
      </c>
      <c r="V27" s="145">
        <f>B13</f>
        <v>200</v>
      </c>
      <c r="W27" s="33" t="s">
        <v>14</v>
      </c>
      <c r="X27" s="33"/>
      <c r="Y27" s="33"/>
      <c r="Z27" s="33"/>
      <c r="AA27" s="34"/>
    </row>
    <row r="28" spans="1:31" s="2" customFormat="1" x14ac:dyDescent="0.2">
      <c r="A28" s="31"/>
      <c r="B28" s="32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97"/>
      <c r="T28" s="33"/>
      <c r="U28" s="33"/>
      <c r="V28" s="33"/>
      <c r="W28" s="33"/>
      <c r="X28" s="33"/>
      <c r="Y28" s="33"/>
      <c r="Z28" s="33"/>
      <c r="AA28" s="34"/>
    </row>
    <row r="29" spans="1:31" s="2" customFormat="1" ht="13.5" thickBot="1" x14ac:dyDescent="0.25">
      <c r="A29" s="35"/>
      <c r="B29" s="36"/>
      <c r="C29" s="37"/>
      <c r="D29" s="37"/>
      <c r="E29" s="37"/>
      <c r="F29" s="38"/>
      <c r="G29" s="38"/>
      <c r="H29" s="38"/>
      <c r="I29" s="38"/>
      <c r="J29" s="38"/>
      <c r="K29" s="38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40"/>
      <c r="Z29" s="40"/>
      <c r="AA29" s="107"/>
    </row>
  </sheetData>
  <mergeCells count="4">
    <mergeCell ref="J4:N4"/>
    <mergeCell ref="O4:X4"/>
    <mergeCell ref="C5:E5"/>
    <mergeCell ref="C6:E6"/>
  </mergeCells>
  <pageMargins left="0.7" right="0.7" top="0.75" bottom="0.75" header="0.3" footer="0.3"/>
  <pageSetup paperSize="9" scale="5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8CC1D-91E7-4696-9143-D81283B8F051}">
  <sheetPr>
    <pageSetUpPr fitToPage="1"/>
  </sheetPr>
  <dimension ref="A1:CK64"/>
  <sheetViews>
    <sheetView zoomScale="115" zoomScaleNormal="115" workbookViewId="0">
      <selection activeCell="B25" sqref="B25"/>
    </sheetView>
  </sheetViews>
  <sheetFormatPr baseColWidth="10" defaultRowHeight="12.75" x14ac:dyDescent="0.2"/>
  <cols>
    <col min="1" max="1" width="15.5703125" style="7" bestFit="1" customWidth="1"/>
    <col min="2" max="2" width="10.5703125" style="41" bestFit="1" customWidth="1"/>
    <col min="3" max="3" width="7.7109375" style="7" customWidth="1"/>
    <col min="4" max="4" width="7.85546875" style="7" customWidth="1"/>
    <col min="5" max="5" width="9.7109375" style="7" customWidth="1"/>
    <col min="6" max="6" width="5" style="7" hidden="1" customWidth="1"/>
    <col min="7" max="7" width="5.28515625" style="7" hidden="1" customWidth="1"/>
    <col min="8" max="8" width="3.5703125" style="7" hidden="1" customWidth="1"/>
    <col min="9" max="9" width="22.28515625" style="7" hidden="1" customWidth="1"/>
    <col min="10" max="10" width="9.28515625" style="5" customWidth="1"/>
    <col min="11" max="11" width="12.85546875" style="7" customWidth="1"/>
    <col min="12" max="12" width="9.28515625" style="5" customWidth="1"/>
    <col min="13" max="13" width="9.140625" style="5" customWidth="1"/>
    <col min="14" max="14" width="10.5703125" style="5" customWidth="1"/>
    <col min="15" max="15" width="10.42578125" style="5" customWidth="1"/>
    <col min="16" max="17" width="8.42578125" style="5" bestFit="1" customWidth="1"/>
    <col min="18" max="18" width="6" style="5" bestFit="1" customWidth="1"/>
    <col min="19" max="19" width="8.5703125" style="5" customWidth="1"/>
    <col min="20" max="20" width="10.140625" style="5" customWidth="1"/>
    <col min="21" max="23" width="9" style="5" bestFit="1" customWidth="1"/>
    <col min="24" max="24" width="30.28515625" style="5" bestFit="1" customWidth="1"/>
    <col min="25" max="25" width="9" style="7" customWidth="1"/>
    <col min="26" max="26" width="10.140625" style="7" bestFit="1" customWidth="1"/>
    <col min="27" max="27" width="9.42578125" style="42" bestFit="1" customWidth="1"/>
    <col min="28" max="28" width="5.28515625" style="7" customWidth="1"/>
    <col min="29" max="29" width="6.140625" style="7" hidden="1" customWidth="1"/>
    <col min="30" max="30" width="5.5703125" style="7" hidden="1" customWidth="1"/>
    <col min="31" max="32" width="8" style="7" hidden="1" customWidth="1"/>
    <col min="33" max="33" width="12.42578125" style="7" bestFit="1" customWidth="1"/>
    <col min="34" max="16384" width="11.42578125" style="7"/>
  </cols>
  <sheetData>
    <row r="1" spans="1:89" ht="18" customHeight="1" x14ac:dyDescent="0.2">
      <c r="A1" s="43" t="s">
        <v>83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72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</row>
    <row r="2" spans="1:89" ht="18" customHeight="1" thickBot="1" x14ac:dyDescent="0.25">
      <c r="A2" s="140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2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</row>
    <row r="3" spans="1:89" ht="24" thickBot="1" x14ac:dyDescent="0.25">
      <c r="A3" s="131" t="s">
        <v>32</v>
      </c>
      <c r="B3" s="132">
        <v>1.5099999999999999E-5</v>
      </c>
      <c r="C3" s="133" t="s">
        <v>31</v>
      </c>
      <c r="D3" s="44"/>
      <c r="E3" s="44"/>
      <c r="F3" s="44"/>
      <c r="G3" s="44"/>
      <c r="H3" s="44"/>
      <c r="I3" s="44"/>
      <c r="J3" s="134"/>
      <c r="K3" s="135" t="s">
        <v>33</v>
      </c>
      <c r="L3" s="136">
        <f>0.15/1000</f>
        <v>1.4999999999999999E-4</v>
      </c>
      <c r="M3" s="137" t="s">
        <v>17</v>
      </c>
      <c r="N3" s="138" t="s">
        <v>34</v>
      </c>
      <c r="O3" s="136">
        <v>1.204</v>
      </c>
      <c r="P3" s="139" t="s">
        <v>35</v>
      </c>
      <c r="Q3" s="52"/>
      <c r="R3" s="53"/>
      <c r="S3" s="53"/>
      <c r="T3" s="53"/>
      <c r="U3" s="53"/>
      <c r="V3" s="53"/>
      <c r="W3" s="53"/>
      <c r="X3" s="53"/>
      <c r="Y3" s="108"/>
      <c r="Z3" s="108"/>
      <c r="AA3" s="10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</row>
    <row r="4" spans="1:89" ht="16.5" thickBot="1" x14ac:dyDescent="0.25">
      <c r="A4" s="126"/>
      <c r="B4" s="127"/>
      <c r="C4" s="128"/>
      <c r="D4" s="128"/>
      <c r="E4" s="128"/>
      <c r="F4" s="129"/>
      <c r="G4" s="128"/>
      <c r="H4" s="128"/>
      <c r="I4" s="128"/>
      <c r="J4" s="152" t="s">
        <v>88</v>
      </c>
      <c r="K4" s="153"/>
      <c r="L4" s="153"/>
      <c r="M4" s="153"/>
      <c r="N4" s="154"/>
      <c r="O4" s="153" t="s">
        <v>87</v>
      </c>
      <c r="P4" s="153"/>
      <c r="Q4" s="153"/>
      <c r="R4" s="153"/>
      <c r="S4" s="153"/>
      <c r="T4" s="153"/>
      <c r="U4" s="153"/>
      <c r="V4" s="153"/>
      <c r="W4" s="153"/>
      <c r="X4" s="155"/>
      <c r="Y4" s="130"/>
      <c r="Z4" s="109"/>
      <c r="AA4" s="110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</row>
    <row r="5" spans="1:89" s="2" customFormat="1" x14ac:dyDescent="0.2">
      <c r="A5" s="71" t="s">
        <v>1</v>
      </c>
      <c r="B5" s="19" t="s">
        <v>1</v>
      </c>
      <c r="C5" s="156"/>
      <c r="D5" s="157"/>
      <c r="E5" s="158"/>
      <c r="F5" s="10"/>
      <c r="G5" s="10"/>
      <c r="H5" s="10"/>
      <c r="I5" s="10"/>
      <c r="J5" s="10" t="s">
        <v>2</v>
      </c>
      <c r="K5" s="10"/>
      <c r="L5" s="10" t="s">
        <v>1</v>
      </c>
      <c r="M5" s="15" t="s">
        <v>1</v>
      </c>
      <c r="N5" s="8" t="s">
        <v>3</v>
      </c>
      <c r="O5" s="10" t="s">
        <v>38</v>
      </c>
      <c r="P5" s="10" t="s">
        <v>38</v>
      </c>
      <c r="Q5" s="10" t="s">
        <v>38</v>
      </c>
      <c r="R5" s="10" t="s">
        <v>38</v>
      </c>
      <c r="S5" s="10" t="s">
        <v>42</v>
      </c>
      <c r="T5" s="10" t="s">
        <v>43</v>
      </c>
      <c r="U5" s="10" t="s">
        <v>45</v>
      </c>
      <c r="V5" s="10" t="s">
        <v>45</v>
      </c>
      <c r="W5" s="10"/>
      <c r="X5" s="10" t="s">
        <v>2</v>
      </c>
      <c r="Y5" s="15" t="s">
        <v>2</v>
      </c>
      <c r="Z5" s="46" t="s">
        <v>2</v>
      </c>
      <c r="AA5" s="73" t="s">
        <v>0</v>
      </c>
    </row>
    <row r="6" spans="1:89" s="2" customFormat="1" ht="18" x14ac:dyDescent="0.2">
      <c r="A6" s="71" t="s">
        <v>5</v>
      </c>
      <c r="B6" s="16" t="s">
        <v>6</v>
      </c>
      <c r="C6" s="159" t="s">
        <v>20</v>
      </c>
      <c r="D6" s="160"/>
      <c r="E6" s="161"/>
      <c r="F6" s="10" t="s">
        <v>29</v>
      </c>
      <c r="G6" s="10" t="s">
        <v>36</v>
      </c>
      <c r="H6" s="10" t="s">
        <v>36</v>
      </c>
      <c r="I6" s="10" t="s">
        <v>30</v>
      </c>
      <c r="J6" s="10" t="s">
        <v>7</v>
      </c>
      <c r="K6" s="10" t="s">
        <v>8</v>
      </c>
      <c r="L6" s="10" t="s">
        <v>9</v>
      </c>
      <c r="M6" s="15" t="s">
        <v>10</v>
      </c>
      <c r="N6" s="8" t="s">
        <v>11</v>
      </c>
      <c r="O6" s="10" t="s">
        <v>50</v>
      </c>
      <c r="P6" s="10" t="s">
        <v>50</v>
      </c>
      <c r="Q6" s="10" t="s">
        <v>39</v>
      </c>
      <c r="R6" s="10" t="s">
        <v>39</v>
      </c>
      <c r="S6" s="10"/>
      <c r="T6" s="10" t="s">
        <v>44</v>
      </c>
      <c r="U6" s="10" t="s">
        <v>47</v>
      </c>
      <c r="V6" s="10" t="s">
        <v>48</v>
      </c>
      <c r="W6" s="10" t="s">
        <v>56</v>
      </c>
      <c r="X6" s="10" t="s">
        <v>12</v>
      </c>
      <c r="Y6" s="13" t="s">
        <v>53</v>
      </c>
      <c r="Z6" s="12" t="s">
        <v>52</v>
      </c>
      <c r="AA6" s="74" t="s">
        <v>4</v>
      </c>
    </row>
    <row r="7" spans="1:89" s="2" customFormat="1" x14ac:dyDescent="0.2">
      <c r="A7" s="71" t="s">
        <v>1</v>
      </c>
      <c r="B7" s="16"/>
      <c r="C7" s="22" t="s">
        <v>15</v>
      </c>
      <c r="D7" s="20" t="s">
        <v>16</v>
      </c>
      <c r="E7" s="23" t="s">
        <v>37</v>
      </c>
      <c r="F7" s="10"/>
      <c r="G7" s="10"/>
      <c r="H7" s="10"/>
      <c r="I7" s="10"/>
      <c r="J7" s="10"/>
      <c r="K7" s="10"/>
      <c r="L7" s="10"/>
      <c r="M7" s="15"/>
      <c r="N7" s="8" t="s">
        <v>21</v>
      </c>
      <c r="O7" s="11" t="s">
        <v>41</v>
      </c>
      <c r="P7" s="11" t="s">
        <v>40</v>
      </c>
      <c r="Q7" s="11" t="s">
        <v>41</v>
      </c>
      <c r="R7" s="11" t="s">
        <v>40</v>
      </c>
      <c r="S7" s="11"/>
      <c r="T7" s="11"/>
      <c r="U7" s="11"/>
      <c r="V7" s="10"/>
      <c r="W7" s="10"/>
      <c r="X7" s="10" t="s">
        <v>2</v>
      </c>
      <c r="Y7" s="15" t="s">
        <v>2</v>
      </c>
      <c r="Z7" s="21"/>
      <c r="AA7" s="74" t="s">
        <v>13</v>
      </c>
    </row>
    <row r="8" spans="1:89" s="2" customFormat="1" ht="18" x14ac:dyDescent="0.2">
      <c r="A8" s="71" t="s">
        <v>1</v>
      </c>
      <c r="B8" s="19" t="s">
        <v>1</v>
      </c>
      <c r="C8" s="17"/>
      <c r="D8" s="10"/>
      <c r="E8" s="14"/>
      <c r="F8" s="10"/>
      <c r="G8" s="10"/>
      <c r="H8" s="10"/>
      <c r="I8" s="10"/>
      <c r="J8" s="10" t="s">
        <v>2</v>
      </c>
      <c r="K8" s="10"/>
      <c r="L8" s="10"/>
      <c r="M8" s="15" t="s">
        <v>1</v>
      </c>
      <c r="N8" s="12" t="s">
        <v>51</v>
      </c>
      <c r="O8" s="12" t="s">
        <v>46</v>
      </c>
      <c r="P8" s="12" t="s">
        <v>46</v>
      </c>
      <c r="Q8" s="12" t="s">
        <v>46</v>
      </c>
      <c r="R8" s="12" t="s">
        <v>46</v>
      </c>
      <c r="S8" s="12" t="s">
        <v>46</v>
      </c>
      <c r="T8" s="12" t="s">
        <v>46</v>
      </c>
      <c r="U8" s="12" t="s">
        <v>46</v>
      </c>
      <c r="V8" s="12" t="s">
        <v>46</v>
      </c>
      <c r="W8" s="12"/>
      <c r="X8" s="10" t="s">
        <v>2</v>
      </c>
      <c r="Y8" s="15" t="s">
        <v>2</v>
      </c>
      <c r="Z8" s="21"/>
      <c r="AA8" s="74"/>
    </row>
    <row r="9" spans="1:89" s="2" customFormat="1" ht="18" x14ac:dyDescent="0.2">
      <c r="A9" s="71"/>
      <c r="B9" s="19"/>
      <c r="C9" s="17"/>
      <c r="D9" s="10"/>
      <c r="E9" s="14"/>
      <c r="F9" s="10"/>
      <c r="G9" s="10"/>
      <c r="H9" s="10"/>
      <c r="I9" s="10"/>
      <c r="J9" s="10"/>
      <c r="K9" s="10"/>
      <c r="L9" s="10"/>
      <c r="M9" s="15"/>
      <c r="N9" s="8"/>
      <c r="O9" s="12">
        <v>0.8</v>
      </c>
      <c r="P9" s="12">
        <v>0.5</v>
      </c>
      <c r="Q9" s="12">
        <v>0.5</v>
      </c>
      <c r="R9" s="12">
        <v>0.25</v>
      </c>
      <c r="S9" s="12">
        <v>0.25</v>
      </c>
      <c r="T9" s="12">
        <v>1.5</v>
      </c>
      <c r="U9" s="12">
        <v>0.2</v>
      </c>
      <c r="V9" s="12">
        <v>1.7</v>
      </c>
      <c r="W9" s="12"/>
      <c r="X9" s="10"/>
      <c r="Y9" s="15"/>
      <c r="Z9" s="21"/>
      <c r="AA9" s="74"/>
    </row>
    <row r="10" spans="1:89" s="2" customFormat="1" x14ac:dyDescent="0.2">
      <c r="A10" s="75"/>
      <c r="B10" s="47" t="s">
        <v>14</v>
      </c>
      <c r="C10" s="146" t="s">
        <v>19</v>
      </c>
      <c r="D10" s="25" t="s">
        <v>19</v>
      </c>
      <c r="E10" s="28" t="s">
        <v>19</v>
      </c>
      <c r="F10" s="25"/>
      <c r="G10" s="25"/>
      <c r="H10" s="25"/>
      <c r="I10" s="25"/>
      <c r="J10" s="25" t="s">
        <v>17</v>
      </c>
      <c r="K10" s="25" t="s">
        <v>22</v>
      </c>
      <c r="L10" s="25" t="s">
        <v>21</v>
      </c>
      <c r="M10" s="48" t="s">
        <v>18</v>
      </c>
      <c r="N10" s="49"/>
      <c r="O10" s="25" t="s">
        <v>54</v>
      </c>
      <c r="P10" s="25" t="s">
        <v>54</v>
      </c>
      <c r="Q10" s="25" t="s">
        <v>54</v>
      </c>
      <c r="R10" s="25" t="s">
        <v>54</v>
      </c>
      <c r="S10" s="25" t="s">
        <v>54</v>
      </c>
      <c r="T10" s="25" t="s">
        <v>54</v>
      </c>
      <c r="U10" s="25" t="s">
        <v>54</v>
      </c>
      <c r="V10" s="25" t="s">
        <v>54</v>
      </c>
      <c r="W10" s="25"/>
      <c r="X10" s="45"/>
      <c r="Y10" s="50"/>
      <c r="Z10" s="51" t="s">
        <v>21</v>
      </c>
      <c r="AA10" s="76" t="s">
        <v>21</v>
      </c>
    </row>
    <row r="11" spans="1:89" s="9" customFormat="1" x14ac:dyDescent="0.2">
      <c r="A11" s="143" t="s">
        <v>92</v>
      </c>
      <c r="B11" s="87"/>
      <c r="C11" s="88"/>
      <c r="D11" s="89"/>
      <c r="E11" s="90"/>
      <c r="F11" s="89"/>
      <c r="G11" s="89"/>
      <c r="H11" s="89"/>
      <c r="I11" s="89"/>
      <c r="J11" s="89"/>
      <c r="K11" s="89"/>
      <c r="L11" s="91"/>
      <c r="M11" s="89"/>
      <c r="N11" s="92"/>
      <c r="O11" s="89"/>
      <c r="P11" s="89"/>
      <c r="Q11" s="89"/>
      <c r="R11" s="89"/>
      <c r="S11" s="89"/>
      <c r="T11" s="89"/>
      <c r="U11" s="89"/>
      <c r="V11" s="89"/>
      <c r="W11" s="89"/>
      <c r="X11" s="90"/>
      <c r="Y11" s="92"/>
      <c r="Z11" s="93"/>
      <c r="AA11" s="94"/>
    </row>
    <row r="12" spans="1:89" s="9" customFormat="1" x14ac:dyDescent="0.2">
      <c r="A12" s="55">
        <v>1</v>
      </c>
      <c r="B12" s="148">
        <v>50</v>
      </c>
      <c r="C12" s="57"/>
      <c r="D12" s="58"/>
      <c r="E12" s="147">
        <v>125</v>
      </c>
      <c r="F12" s="58">
        <f>M12*(E12/1000)/$B$3</f>
        <v>9368.9523193193982</v>
      </c>
      <c r="G12" s="59">
        <f t="shared" ref="G12" si="0">IF(F12&lt;2000,64/F12,0.11*POWER((($L$3/(E12/1000))+(68/F12)),0.25))</f>
        <v>3.3358752620497353E-2</v>
      </c>
      <c r="H12" s="59">
        <f t="shared" ref="H12" si="1">IF(G12&lt;0.018,G12*0.85+0.0028,G12)</f>
        <v>3.3358752620497353E-2</v>
      </c>
      <c r="I12" s="59">
        <f t="shared" ref="I12" si="2">IF(F12&lt;2000,G12,H12)</f>
        <v>3.3358752620497353E-2</v>
      </c>
      <c r="J12" s="150"/>
      <c r="K12" s="149">
        <f>I12/(E12/1000)*$O$3*M12*M12/2</f>
        <v>0.20578428539976198</v>
      </c>
      <c r="L12" s="61">
        <f t="shared" ref="L12:L53" si="3">J12*K12</f>
        <v>0</v>
      </c>
      <c r="M12" s="60">
        <f t="shared" ref="M12:M53" si="4">IF(C12=0,B12/3600/3.14159/(E12/1000)/(E12/1000)*4,(B12/3600)/(C12/1000)/(D12/1000))</f>
        <v>1.1317694401737832</v>
      </c>
      <c r="N12" s="62">
        <f>$O$3*M12*M12/2</f>
        <v>0.77110304355818982</v>
      </c>
      <c r="O12" s="58"/>
      <c r="P12" s="58"/>
      <c r="Q12" s="147">
        <v>1</v>
      </c>
      <c r="R12" s="58"/>
      <c r="S12" s="147"/>
      <c r="T12" s="58"/>
      <c r="U12" s="147"/>
      <c r="V12" s="147"/>
      <c r="W12" s="68">
        <f>SUMPRODUCT($O$9:$V$9,O12:V12)</f>
        <v>0.5</v>
      </c>
      <c r="X12" s="111"/>
      <c r="Y12" s="4">
        <f>Q12*$Q$9+R12*$R$9+S12*$S$9+T12*$T$9+U12*$U$9+V12*$V$9+O12*$O$9+P12*$P$9</f>
        <v>0.5</v>
      </c>
      <c r="Z12" s="64">
        <f>N12*Y12+W12</f>
        <v>0.88555152177909491</v>
      </c>
      <c r="AA12" s="151">
        <f>L12+Z12</f>
        <v>0.88555152177909491</v>
      </c>
      <c r="AE12" s="27"/>
      <c r="AF12" s="9" t="s">
        <v>23</v>
      </c>
    </row>
    <row r="13" spans="1:89" s="9" customFormat="1" x14ac:dyDescent="0.2">
      <c r="A13" s="55">
        <f>'PdC reprise Haut'!A12+1</f>
        <v>2</v>
      </c>
      <c r="B13" s="148">
        <v>50</v>
      </c>
      <c r="C13" s="57"/>
      <c r="D13" s="58"/>
      <c r="E13" s="147">
        <v>125</v>
      </c>
      <c r="F13" s="58"/>
      <c r="G13" s="59"/>
      <c r="H13" s="59"/>
      <c r="I13" s="59"/>
      <c r="J13" s="150"/>
      <c r="K13" s="149">
        <f t="shared" ref="K13:K53" si="5">I13/(E13/1000)*$O$3*M13*M13/2</f>
        <v>0</v>
      </c>
      <c r="L13" s="61">
        <f t="shared" si="3"/>
        <v>0</v>
      </c>
      <c r="M13" s="60">
        <f t="shared" si="4"/>
        <v>1.1317694401737832</v>
      </c>
      <c r="N13" s="62">
        <f t="shared" ref="N13:N53" si="6">$O$3*M13*M13/2</f>
        <v>0.77110304355818982</v>
      </c>
      <c r="O13" s="58"/>
      <c r="P13" s="58"/>
      <c r="Q13" s="147">
        <v>1</v>
      </c>
      <c r="R13" s="58"/>
      <c r="S13" s="147"/>
      <c r="T13" s="58"/>
      <c r="U13" s="147"/>
      <c r="V13" s="147"/>
      <c r="W13" s="68">
        <f t="shared" ref="W13:W53" si="7">SUMPRODUCT($O$9:$V$9,O13:V13)</f>
        <v>0.5</v>
      </c>
      <c r="X13" s="111"/>
      <c r="Y13" s="4">
        <f t="shared" ref="Y13:Y53" si="8">Q13*$Q$9+R13*$R$9+S13*$S$9+T13*$T$9+U13*$U$9+V13*$V$9+O13*$O$9+P13*$P$9</f>
        <v>0.5</v>
      </c>
      <c r="Z13" s="64">
        <f t="shared" ref="Z13:Z53" si="9">N13*Y13+W13</f>
        <v>0.88555152177909491</v>
      </c>
      <c r="AA13" s="151">
        <f t="shared" ref="AA13:AA53" si="10">L13+Z13</f>
        <v>0.88555152177909491</v>
      </c>
      <c r="AE13" s="27"/>
    </row>
    <row r="14" spans="1:89" s="9" customFormat="1" x14ac:dyDescent="0.2">
      <c r="A14" s="55">
        <f>'PdC reprise Haut'!A13+1</f>
        <v>3</v>
      </c>
      <c r="B14" s="148">
        <v>50</v>
      </c>
      <c r="C14" s="57"/>
      <c r="D14" s="58"/>
      <c r="E14" s="147">
        <v>125</v>
      </c>
      <c r="F14" s="58"/>
      <c r="G14" s="59"/>
      <c r="H14" s="59"/>
      <c r="I14" s="59"/>
      <c r="J14" s="150"/>
      <c r="K14" s="149">
        <f t="shared" si="5"/>
        <v>0</v>
      </c>
      <c r="L14" s="61">
        <f t="shared" si="3"/>
        <v>0</v>
      </c>
      <c r="M14" s="60">
        <f t="shared" si="4"/>
        <v>1.1317694401737832</v>
      </c>
      <c r="N14" s="62">
        <f t="shared" si="6"/>
        <v>0.77110304355818982</v>
      </c>
      <c r="O14" s="58"/>
      <c r="P14" s="58"/>
      <c r="Q14" s="147"/>
      <c r="R14" s="58"/>
      <c r="S14" s="147"/>
      <c r="T14" s="58"/>
      <c r="U14" s="147">
        <v>1</v>
      </c>
      <c r="V14" s="147"/>
      <c r="W14" s="68">
        <f t="shared" si="7"/>
        <v>0.2</v>
      </c>
      <c r="X14" s="111"/>
      <c r="Y14" s="4">
        <f t="shared" si="8"/>
        <v>0.2</v>
      </c>
      <c r="Z14" s="64">
        <f t="shared" si="9"/>
        <v>0.35422060871163796</v>
      </c>
      <c r="AA14" s="151">
        <f t="shared" si="10"/>
        <v>0.35422060871163796</v>
      </c>
      <c r="AE14" s="27"/>
    </row>
    <row r="15" spans="1:89" s="9" customFormat="1" x14ac:dyDescent="0.2">
      <c r="A15" s="55">
        <f>'PdC reprise Haut'!A14+1</f>
        <v>4</v>
      </c>
      <c r="B15" s="148">
        <v>100</v>
      </c>
      <c r="C15" s="57"/>
      <c r="D15" s="58"/>
      <c r="E15" s="147">
        <v>125</v>
      </c>
      <c r="F15" s="58"/>
      <c r="G15" s="59"/>
      <c r="H15" s="59"/>
      <c r="I15" s="59"/>
      <c r="J15" s="150"/>
      <c r="K15" s="149">
        <f t="shared" si="5"/>
        <v>0</v>
      </c>
      <c r="L15" s="61">
        <f t="shared" si="3"/>
        <v>0</v>
      </c>
      <c r="M15" s="60">
        <f t="shared" si="4"/>
        <v>2.2635388803475665</v>
      </c>
      <c r="N15" s="62">
        <f t="shared" si="6"/>
        <v>3.0844121742327593</v>
      </c>
      <c r="O15" s="58"/>
      <c r="P15" s="58"/>
      <c r="Q15" s="147">
        <v>1</v>
      </c>
      <c r="R15" s="58"/>
      <c r="S15" s="147"/>
      <c r="T15" s="58"/>
      <c r="U15" s="147"/>
      <c r="V15" s="147"/>
      <c r="W15" s="68">
        <f t="shared" si="7"/>
        <v>0.5</v>
      </c>
      <c r="X15" s="111"/>
      <c r="Y15" s="4">
        <f t="shared" si="8"/>
        <v>0.5</v>
      </c>
      <c r="Z15" s="64">
        <f t="shared" si="9"/>
        <v>2.0422060871163796</v>
      </c>
      <c r="AA15" s="151">
        <f t="shared" si="10"/>
        <v>2.0422060871163796</v>
      </c>
      <c r="AE15" s="27"/>
    </row>
    <row r="16" spans="1:89" s="9" customFormat="1" x14ac:dyDescent="0.2">
      <c r="A16" s="55">
        <f>'PdC reprise Haut'!A15+1</f>
        <v>5</v>
      </c>
      <c r="B16" s="148">
        <v>150</v>
      </c>
      <c r="C16" s="57"/>
      <c r="D16" s="58"/>
      <c r="E16" s="147">
        <v>125</v>
      </c>
      <c r="F16" s="58"/>
      <c r="G16" s="59"/>
      <c r="H16" s="59"/>
      <c r="I16" s="59"/>
      <c r="J16" s="150"/>
      <c r="K16" s="149">
        <f t="shared" si="5"/>
        <v>0</v>
      </c>
      <c r="L16" s="61">
        <f t="shared" si="3"/>
        <v>0</v>
      </c>
      <c r="M16" s="60">
        <f t="shared" si="4"/>
        <v>3.3953083205213495</v>
      </c>
      <c r="N16" s="62">
        <f t="shared" si="6"/>
        <v>6.9399273920237068</v>
      </c>
      <c r="O16" s="58"/>
      <c r="P16" s="58"/>
      <c r="Q16" s="147">
        <v>1</v>
      </c>
      <c r="R16" s="58"/>
      <c r="S16" s="147"/>
      <c r="T16" s="58"/>
      <c r="U16" s="147"/>
      <c r="V16" s="147"/>
      <c r="W16" s="68">
        <f t="shared" si="7"/>
        <v>0.5</v>
      </c>
      <c r="X16" s="111"/>
      <c r="Y16" s="4">
        <f t="shared" si="8"/>
        <v>0.5</v>
      </c>
      <c r="Z16" s="64">
        <f t="shared" si="9"/>
        <v>3.9699636960118534</v>
      </c>
      <c r="AA16" s="151">
        <f t="shared" si="10"/>
        <v>3.9699636960118534</v>
      </c>
      <c r="AE16" s="27"/>
    </row>
    <row r="17" spans="1:31" s="9" customFormat="1" x14ac:dyDescent="0.2">
      <c r="A17" s="55">
        <f>'PdC reprise Haut'!A16+1</f>
        <v>6</v>
      </c>
      <c r="B17" s="148">
        <v>150</v>
      </c>
      <c r="C17" s="57"/>
      <c r="D17" s="58"/>
      <c r="E17" s="147">
        <v>125</v>
      </c>
      <c r="F17" s="58"/>
      <c r="G17" s="59"/>
      <c r="H17" s="59"/>
      <c r="I17" s="59"/>
      <c r="J17" s="150"/>
      <c r="K17" s="149">
        <f t="shared" si="5"/>
        <v>0</v>
      </c>
      <c r="L17" s="61">
        <f t="shared" si="3"/>
        <v>0</v>
      </c>
      <c r="M17" s="60">
        <f t="shared" si="4"/>
        <v>3.3953083205213495</v>
      </c>
      <c r="N17" s="62">
        <f t="shared" si="6"/>
        <v>6.9399273920237068</v>
      </c>
      <c r="O17" s="58"/>
      <c r="P17" s="58"/>
      <c r="Q17" s="147">
        <v>3</v>
      </c>
      <c r="R17" s="58"/>
      <c r="S17" s="147"/>
      <c r="T17" s="58"/>
      <c r="U17" s="147"/>
      <c r="V17" s="147"/>
      <c r="W17" s="68">
        <f t="shared" si="7"/>
        <v>1.5</v>
      </c>
      <c r="X17" s="111"/>
      <c r="Y17" s="4">
        <f t="shared" si="8"/>
        <v>1.5</v>
      </c>
      <c r="Z17" s="64">
        <f t="shared" si="9"/>
        <v>11.909891088035561</v>
      </c>
      <c r="AA17" s="151">
        <f t="shared" si="10"/>
        <v>11.909891088035561</v>
      </c>
      <c r="AE17" s="27"/>
    </row>
    <row r="18" spans="1:31" s="9" customFormat="1" x14ac:dyDescent="0.2">
      <c r="A18" s="55">
        <f>'PdC reprise Haut'!A17+1</f>
        <v>7</v>
      </c>
      <c r="B18" s="148">
        <v>200</v>
      </c>
      <c r="C18" s="57"/>
      <c r="D18" s="58"/>
      <c r="E18" s="147">
        <v>125</v>
      </c>
      <c r="F18" s="58"/>
      <c r="G18" s="59"/>
      <c r="H18" s="59"/>
      <c r="I18" s="59"/>
      <c r="J18" s="150"/>
      <c r="K18" s="149">
        <f t="shared" si="5"/>
        <v>0</v>
      </c>
      <c r="L18" s="61">
        <f t="shared" si="3"/>
        <v>0</v>
      </c>
      <c r="M18" s="60">
        <f t="shared" si="4"/>
        <v>4.5270777606951329</v>
      </c>
      <c r="N18" s="62">
        <f t="shared" si="6"/>
        <v>12.337648696931037</v>
      </c>
      <c r="O18" s="58"/>
      <c r="P18" s="58"/>
      <c r="Q18" s="147">
        <v>3</v>
      </c>
      <c r="R18" s="58"/>
      <c r="S18" s="147"/>
      <c r="T18" s="58"/>
      <c r="U18" s="147"/>
      <c r="V18" s="147"/>
      <c r="W18" s="68">
        <f t="shared" si="7"/>
        <v>1.5</v>
      </c>
      <c r="X18" s="111"/>
      <c r="Y18" s="4">
        <f t="shared" si="8"/>
        <v>1.5</v>
      </c>
      <c r="Z18" s="64">
        <f t="shared" si="9"/>
        <v>20.006473045396554</v>
      </c>
      <c r="AA18" s="151">
        <f t="shared" si="10"/>
        <v>20.006473045396554</v>
      </c>
      <c r="AE18" s="27"/>
    </row>
    <row r="19" spans="1:31" s="9" customFormat="1" x14ac:dyDescent="0.2">
      <c r="A19" s="55">
        <f>'PdC reprise Haut'!A18+1</f>
        <v>8</v>
      </c>
      <c r="B19" s="148">
        <v>200</v>
      </c>
      <c r="C19" s="57"/>
      <c r="D19" s="58"/>
      <c r="E19" s="147">
        <v>125</v>
      </c>
      <c r="F19" s="58"/>
      <c r="G19" s="59"/>
      <c r="H19" s="59"/>
      <c r="I19" s="59"/>
      <c r="J19" s="150"/>
      <c r="K19" s="149">
        <f t="shared" si="5"/>
        <v>0</v>
      </c>
      <c r="L19" s="61">
        <f t="shared" si="3"/>
        <v>0</v>
      </c>
      <c r="M19" s="60">
        <f t="shared" si="4"/>
        <v>4.5270777606951329</v>
      </c>
      <c r="N19" s="62">
        <f t="shared" si="6"/>
        <v>12.337648696931037</v>
      </c>
      <c r="O19" s="58"/>
      <c r="P19" s="58"/>
      <c r="Q19" s="147"/>
      <c r="R19" s="58"/>
      <c r="S19" s="147">
        <v>1</v>
      </c>
      <c r="T19" s="58"/>
      <c r="U19" s="147"/>
      <c r="V19" s="147"/>
      <c r="W19" s="68">
        <f t="shared" si="7"/>
        <v>0.25</v>
      </c>
      <c r="X19" s="111"/>
      <c r="Y19" s="4">
        <f t="shared" si="8"/>
        <v>0.25</v>
      </c>
      <c r="Z19" s="64">
        <f t="shared" si="9"/>
        <v>3.3344121742327593</v>
      </c>
      <c r="AA19" s="151">
        <f t="shared" si="10"/>
        <v>3.3344121742327593</v>
      </c>
      <c r="AE19" s="27"/>
    </row>
    <row r="20" spans="1:31" s="9" customFormat="1" x14ac:dyDescent="0.2">
      <c r="A20" s="55">
        <f>'PdC reprise Haut'!A19+1</f>
        <v>9</v>
      </c>
      <c r="B20" s="148">
        <v>200</v>
      </c>
      <c r="C20" s="57"/>
      <c r="D20" s="58"/>
      <c r="E20" s="147">
        <v>125</v>
      </c>
      <c r="F20" s="58"/>
      <c r="G20" s="59"/>
      <c r="H20" s="59"/>
      <c r="I20" s="59"/>
      <c r="J20" s="150" t="s">
        <v>111</v>
      </c>
      <c r="K20" s="149">
        <f t="shared" si="5"/>
        <v>0</v>
      </c>
      <c r="L20" s="61">
        <f t="shared" si="3"/>
        <v>0</v>
      </c>
      <c r="M20" s="60">
        <f t="shared" si="4"/>
        <v>4.5270777606951329</v>
      </c>
      <c r="N20" s="62">
        <f t="shared" si="6"/>
        <v>12.337648696931037</v>
      </c>
      <c r="O20" s="58"/>
      <c r="P20" s="58"/>
      <c r="Q20" s="147"/>
      <c r="R20" s="58"/>
      <c r="S20" s="147"/>
      <c r="T20" s="58"/>
      <c r="U20" s="147"/>
      <c r="V20" s="147"/>
      <c r="W20" s="68">
        <f t="shared" si="7"/>
        <v>0</v>
      </c>
      <c r="X20" s="111"/>
      <c r="Y20" s="4">
        <f t="shared" si="8"/>
        <v>0</v>
      </c>
      <c r="Z20" s="64">
        <f t="shared" si="9"/>
        <v>0</v>
      </c>
      <c r="AA20" s="151">
        <f t="shared" si="10"/>
        <v>0</v>
      </c>
      <c r="AE20" s="27"/>
    </row>
    <row r="21" spans="1:31" s="9" customFormat="1" x14ac:dyDescent="0.2">
      <c r="A21" s="55">
        <f>'PdC reprise Haut'!A20+1</f>
        <v>10</v>
      </c>
      <c r="B21" s="148">
        <v>250</v>
      </c>
      <c r="C21" s="57"/>
      <c r="D21" s="58"/>
      <c r="E21" s="147">
        <v>125</v>
      </c>
      <c r="F21" s="58"/>
      <c r="G21" s="59"/>
      <c r="H21" s="59"/>
      <c r="I21" s="59"/>
      <c r="J21" s="150"/>
      <c r="K21" s="149">
        <f t="shared" si="5"/>
        <v>0</v>
      </c>
      <c r="L21" s="61">
        <f t="shared" si="3"/>
        <v>0</v>
      </c>
      <c r="M21" s="60">
        <f t="shared" si="4"/>
        <v>5.6588472008689168</v>
      </c>
      <c r="N21" s="62">
        <f t="shared" si="6"/>
        <v>19.277576088954749</v>
      </c>
      <c r="O21" s="58"/>
      <c r="P21" s="58"/>
      <c r="Q21" s="147"/>
      <c r="R21" s="58"/>
      <c r="S21" s="147"/>
      <c r="T21" s="58"/>
      <c r="U21" s="147">
        <v>1</v>
      </c>
      <c r="V21" s="147"/>
      <c r="W21" s="68">
        <f t="shared" si="7"/>
        <v>0.2</v>
      </c>
      <c r="X21" s="111"/>
      <c r="Y21" s="4">
        <f t="shared" si="8"/>
        <v>0.2</v>
      </c>
      <c r="Z21" s="64">
        <f t="shared" si="9"/>
        <v>4.0555152177909504</v>
      </c>
      <c r="AA21" s="151">
        <f t="shared" si="10"/>
        <v>4.0555152177909504</v>
      </c>
      <c r="AE21" s="27"/>
    </row>
    <row r="22" spans="1:31" s="9" customFormat="1" x14ac:dyDescent="0.2">
      <c r="A22" s="55">
        <f>'PdC reprise Haut'!A21+1</f>
        <v>11</v>
      </c>
      <c r="B22" s="148">
        <v>300</v>
      </c>
      <c r="C22" s="57"/>
      <c r="D22" s="58"/>
      <c r="E22" s="147">
        <v>125</v>
      </c>
      <c r="F22" s="58"/>
      <c r="G22" s="59"/>
      <c r="H22" s="59"/>
      <c r="I22" s="59"/>
      <c r="J22" s="150"/>
      <c r="K22" s="149">
        <f t="shared" si="5"/>
        <v>0</v>
      </c>
      <c r="L22" s="61">
        <f t="shared" si="3"/>
        <v>0</v>
      </c>
      <c r="M22" s="60">
        <f t="shared" si="4"/>
        <v>6.7906166410426989</v>
      </c>
      <c r="N22" s="62">
        <f t="shared" si="6"/>
        <v>27.759709568094827</v>
      </c>
      <c r="O22" s="58"/>
      <c r="P22" s="58"/>
      <c r="Q22" s="147"/>
      <c r="R22" s="58"/>
      <c r="S22" s="147"/>
      <c r="T22" s="58"/>
      <c r="U22" s="147">
        <v>1</v>
      </c>
      <c r="V22" s="147"/>
      <c r="W22" s="68">
        <f t="shared" si="7"/>
        <v>0.2</v>
      </c>
      <c r="X22" s="111"/>
      <c r="Y22" s="4">
        <f t="shared" si="8"/>
        <v>0.2</v>
      </c>
      <c r="Z22" s="64">
        <f t="shared" si="9"/>
        <v>5.7519419136189658</v>
      </c>
      <c r="AA22" s="151">
        <f t="shared" si="10"/>
        <v>5.7519419136189658</v>
      </c>
      <c r="AE22" s="27"/>
    </row>
    <row r="23" spans="1:31" s="9" customFormat="1" x14ac:dyDescent="0.2">
      <c r="A23" s="55">
        <f>'PdC reprise Haut'!A22+1</f>
        <v>12</v>
      </c>
      <c r="B23" s="148">
        <v>350</v>
      </c>
      <c r="C23" s="57"/>
      <c r="D23" s="58"/>
      <c r="E23" s="147">
        <v>125</v>
      </c>
      <c r="F23" s="58"/>
      <c r="G23" s="59"/>
      <c r="H23" s="59"/>
      <c r="I23" s="59"/>
      <c r="J23" s="150"/>
      <c r="K23" s="149">
        <f t="shared" si="5"/>
        <v>0</v>
      </c>
      <c r="L23" s="61">
        <f t="shared" si="3"/>
        <v>0</v>
      </c>
      <c r="M23" s="60">
        <f t="shared" si="4"/>
        <v>7.9223860812164828</v>
      </c>
      <c r="N23" s="62">
        <f t="shared" si="6"/>
        <v>37.784049134351299</v>
      </c>
      <c r="O23" s="58"/>
      <c r="P23" s="58"/>
      <c r="Q23" s="147"/>
      <c r="R23" s="58"/>
      <c r="S23" s="147"/>
      <c r="T23" s="58"/>
      <c r="U23" s="147">
        <v>1</v>
      </c>
      <c r="V23" s="147"/>
      <c r="W23" s="68">
        <f t="shared" si="7"/>
        <v>0.2</v>
      </c>
      <c r="X23" s="111"/>
      <c r="Y23" s="4">
        <f t="shared" si="8"/>
        <v>0.2</v>
      </c>
      <c r="Z23" s="64">
        <f t="shared" si="9"/>
        <v>7.7568098268702608</v>
      </c>
      <c r="AA23" s="151">
        <f t="shared" si="10"/>
        <v>7.7568098268702608</v>
      </c>
      <c r="AE23" s="27"/>
    </row>
    <row r="24" spans="1:31" s="9" customFormat="1" x14ac:dyDescent="0.2">
      <c r="A24" s="55">
        <f>'PdC reprise Haut'!A23+1</f>
        <v>13</v>
      </c>
      <c r="B24" s="148">
        <v>350</v>
      </c>
      <c r="C24" s="57"/>
      <c r="D24" s="58"/>
      <c r="E24" s="147">
        <v>160</v>
      </c>
      <c r="F24" s="58"/>
      <c r="G24" s="59"/>
      <c r="H24" s="59"/>
      <c r="I24" s="59"/>
      <c r="J24" s="150" t="s">
        <v>112</v>
      </c>
      <c r="K24" s="149">
        <f t="shared" si="5"/>
        <v>0</v>
      </c>
      <c r="L24" s="61">
        <f t="shared" si="3"/>
        <v>0</v>
      </c>
      <c r="M24" s="60">
        <f t="shared" si="4"/>
        <v>4.8354407233987313</v>
      </c>
      <c r="N24" s="62">
        <f t="shared" si="6"/>
        <v>14.075655167680713</v>
      </c>
      <c r="O24" s="58"/>
      <c r="P24" s="58"/>
      <c r="Q24" s="147"/>
      <c r="R24" s="58"/>
      <c r="S24" s="147"/>
      <c r="T24" s="58"/>
      <c r="U24" s="147"/>
      <c r="V24" s="147"/>
      <c r="W24" s="68">
        <f t="shared" si="7"/>
        <v>0</v>
      </c>
      <c r="X24" s="111"/>
      <c r="Y24" s="4">
        <f t="shared" si="8"/>
        <v>0</v>
      </c>
      <c r="Z24" s="64">
        <f t="shared" si="9"/>
        <v>0</v>
      </c>
      <c r="AA24" s="151">
        <f t="shared" si="10"/>
        <v>0</v>
      </c>
      <c r="AE24" s="27"/>
    </row>
    <row r="25" spans="1:31" s="9" customFormat="1" x14ac:dyDescent="0.2">
      <c r="A25" s="55">
        <f>'PdC reprise Haut'!A24+1</f>
        <v>14</v>
      </c>
      <c r="B25" s="148"/>
      <c r="C25" s="57"/>
      <c r="D25" s="58"/>
      <c r="E25" s="147"/>
      <c r="F25" s="58"/>
      <c r="G25" s="59"/>
      <c r="H25" s="59"/>
      <c r="I25" s="59"/>
      <c r="J25" s="150"/>
      <c r="K25" s="149" t="e">
        <f t="shared" si="5"/>
        <v>#DIV/0!</v>
      </c>
      <c r="L25" s="61" t="e">
        <f t="shared" si="3"/>
        <v>#DIV/0!</v>
      </c>
      <c r="M25" s="60" t="e">
        <f t="shared" si="4"/>
        <v>#DIV/0!</v>
      </c>
      <c r="N25" s="62" t="e">
        <f t="shared" si="6"/>
        <v>#DIV/0!</v>
      </c>
      <c r="O25" s="58"/>
      <c r="P25" s="58"/>
      <c r="Q25" s="147"/>
      <c r="R25" s="58"/>
      <c r="S25" s="147"/>
      <c r="T25" s="58"/>
      <c r="U25" s="147"/>
      <c r="V25" s="147"/>
      <c r="W25" s="68">
        <f t="shared" si="7"/>
        <v>0</v>
      </c>
      <c r="X25" s="111"/>
      <c r="Y25" s="4">
        <f t="shared" si="8"/>
        <v>0</v>
      </c>
      <c r="Z25" s="64" t="e">
        <f t="shared" si="9"/>
        <v>#DIV/0!</v>
      </c>
      <c r="AA25" s="151" t="e">
        <f t="shared" si="10"/>
        <v>#DIV/0!</v>
      </c>
      <c r="AE25" s="27"/>
    </row>
    <row r="26" spans="1:31" s="9" customFormat="1" x14ac:dyDescent="0.2">
      <c r="A26" s="55">
        <f>'PdC reprise Haut'!A25+1</f>
        <v>15</v>
      </c>
      <c r="B26" s="148"/>
      <c r="C26" s="57"/>
      <c r="D26" s="58"/>
      <c r="E26" s="147"/>
      <c r="F26" s="58"/>
      <c r="G26" s="59"/>
      <c r="H26" s="59"/>
      <c r="I26" s="59"/>
      <c r="J26" s="150"/>
      <c r="K26" s="149" t="e">
        <f t="shared" si="5"/>
        <v>#DIV/0!</v>
      </c>
      <c r="L26" s="61" t="e">
        <f t="shared" si="3"/>
        <v>#DIV/0!</v>
      </c>
      <c r="M26" s="60" t="e">
        <f t="shared" si="4"/>
        <v>#DIV/0!</v>
      </c>
      <c r="N26" s="62" t="e">
        <f t="shared" si="6"/>
        <v>#DIV/0!</v>
      </c>
      <c r="O26" s="58"/>
      <c r="P26" s="58"/>
      <c r="Q26" s="147"/>
      <c r="R26" s="58"/>
      <c r="S26" s="147"/>
      <c r="T26" s="58"/>
      <c r="U26" s="147"/>
      <c r="V26" s="147"/>
      <c r="W26" s="68">
        <f t="shared" si="7"/>
        <v>0</v>
      </c>
      <c r="X26" s="111"/>
      <c r="Y26" s="4">
        <f t="shared" si="8"/>
        <v>0</v>
      </c>
      <c r="Z26" s="64" t="e">
        <f t="shared" si="9"/>
        <v>#DIV/0!</v>
      </c>
      <c r="AA26" s="151" t="e">
        <f t="shared" si="10"/>
        <v>#DIV/0!</v>
      </c>
      <c r="AE26" s="27"/>
    </row>
    <row r="27" spans="1:31" s="9" customFormat="1" x14ac:dyDescent="0.2">
      <c r="A27" s="55">
        <f>'PdC reprise Haut'!A26+1</f>
        <v>16</v>
      </c>
      <c r="B27" s="148"/>
      <c r="C27" s="57"/>
      <c r="D27" s="58"/>
      <c r="E27" s="147"/>
      <c r="F27" s="58"/>
      <c r="G27" s="59"/>
      <c r="H27" s="59"/>
      <c r="I27" s="59"/>
      <c r="J27" s="150"/>
      <c r="K27" s="149" t="e">
        <f t="shared" si="5"/>
        <v>#DIV/0!</v>
      </c>
      <c r="L27" s="61" t="e">
        <f t="shared" si="3"/>
        <v>#DIV/0!</v>
      </c>
      <c r="M27" s="60" t="e">
        <f t="shared" si="4"/>
        <v>#DIV/0!</v>
      </c>
      <c r="N27" s="62" t="e">
        <f t="shared" si="6"/>
        <v>#DIV/0!</v>
      </c>
      <c r="O27" s="58"/>
      <c r="P27" s="58"/>
      <c r="Q27" s="147"/>
      <c r="R27" s="58"/>
      <c r="S27" s="147"/>
      <c r="T27" s="58"/>
      <c r="U27" s="147"/>
      <c r="V27" s="147"/>
      <c r="W27" s="68">
        <f t="shared" si="7"/>
        <v>0</v>
      </c>
      <c r="X27" s="111"/>
      <c r="Y27" s="4">
        <f t="shared" si="8"/>
        <v>0</v>
      </c>
      <c r="Z27" s="64" t="e">
        <f t="shared" si="9"/>
        <v>#DIV/0!</v>
      </c>
      <c r="AA27" s="151" t="e">
        <f t="shared" si="10"/>
        <v>#DIV/0!</v>
      </c>
      <c r="AE27" s="27"/>
    </row>
    <row r="28" spans="1:31" s="9" customFormat="1" x14ac:dyDescent="0.2">
      <c r="A28" s="55">
        <f>'PdC reprise Haut'!A27+1</f>
        <v>17</v>
      </c>
      <c r="B28" s="148"/>
      <c r="C28" s="57"/>
      <c r="D28" s="58"/>
      <c r="E28" s="147"/>
      <c r="F28" s="58"/>
      <c r="G28" s="59"/>
      <c r="H28" s="59"/>
      <c r="I28" s="59"/>
      <c r="J28" s="150"/>
      <c r="K28" s="149" t="e">
        <f t="shared" si="5"/>
        <v>#DIV/0!</v>
      </c>
      <c r="L28" s="61" t="e">
        <f t="shared" si="3"/>
        <v>#DIV/0!</v>
      </c>
      <c r="M28" s="60" t="e">
        <f t="shared" si="4"/>
        <v>#DIV/0!</v>
      </c>
      <c r="N28" s="62" t="e">
        <f t="shared" si="6"/>
        <v>#DIV/0!</v>
      </c>
      <c r="O28" s="58"/>
      <c r="P28" s="58"/>
      <c r="Q28" s="147"/>
      <c r="R28" s="58"/>
      <c r="S28" s="147"/>
      <c r="T28" s="58"/>
      <c r="U28" s="147"/>
      <c r="V28" s="147"/>
      <c r="W28" s="68">
        <f t="shared" si="7"/>
        <v>0</v>
      </c>
      <c r="X28" s="111"/>
      <c r="Y28" s="4">
        <f t="shared" si="8"/>
        <v>0</v>
      </c>
      <c r="Z28" s="64" t="e">
        <f t="shared" si="9"/>
        <v>#DIV/0!</v>
      </c>
      <c r="AA28" s="151" t="e">
        <f t="shared" si="10"/>
        <v>#DIV/0!</v>
      </c>
      <c r="AE28" s="27"/>
    </row>
    <row r="29" spans="1:31" s="9" customFormat="1" x14ac:dyDescent="0.2">
      <c r="A29" s="55">
        <f>'PdC reprise Haut'!A28+1</f>
        <v>18</v>
      </c>
      <c r="B29" s="148"/>
      <c r="C29" s="57"/>
      <c r="D29" s="58"/>
      <c r="E29" s="147"/>
      <c r="F29" s="58"/>
      <c r="G29" s="59"/>
      <c r="H29" s="59"/>
      <c r="I29" s="59"/>
      <c r="J29" s="150"/>
      <c r="K29" s="149" t="e">
        <f t="shared" si="5"/>
        <v>#DIV/0!</v>
      </c>
      <c r="L29" s="61" t="e">
        <f t="shared" si="3"/>
        <v>#DIV/0!</v>
      </c>
      <c r="M29" s="60" t="e">
        <f t="shared" si="4"/>
        <v>#DIV/0!</v>
      </c>
      <c r="N29" s="62" t="e">
        <f t="shared" si="6"/>
        <v>#DIV/0!</v>
      </c>
      <c r="O29" s="58"/>
      <c r="P29" s="58"/>
      <c r="Q29" s="147"/>
      <c r="R29" s="58"/>
      <c r="S29" s="147"/>
      <c r="T29" s="58"/>
      <c r="U29" s="147"/>
      <c r="V29" s="147"/>
      <c r="W29" s="68">
        <f t="shared" si="7"/>
        <v>0</v>
      </c>
      <c r="X29" s="111"/>
      <c r="Y29" s="4">
        <f t="shared" si="8"/>
        <v>0</v>
      </c>
      <c r="Z29" s="64" t="e">
        <f t="shared" si="9"/>
        <v>#DIV/0!</v>
      </c>
      <c r="AA29" s="151" t="e">
        <f t="shared" si="10"/>
        <v>#DIV/0!</v>
      </c>
      <c r="AE29" s="27"/>
    </row>
    <row r="30" spans="1:31" s="9" customFormat="1" x14ac:dyDescent="0.2">
      <c r="A30" s="55">
        <f>'PdC reprise Haut'!A29+1</f>
        <v>19</v>
      </c>
      <c r="B30" s="148"/>
      <c r="C30" s="57"/>
      <c r="D30" s="58"/>
      <c r="E30" s="147"/>
      <c r="F30" s="58"/>
      <c r="G30" s="59"/>
      <c r="H30" s="59"/>
      <c r="I30" s="59"/>
      <c r="J30" s="150"/>
      <c r="K30" s="149" t="e">
        <f t="shared" si="5"/>
        <v>#DIV/0!</v>
      </c>
      <c r="L30" s="61" t="e">
        <f t="shared" si="3"/>
        <v>#DIV/0!</v>
      </c>
      <c r="M30" s="60" t="e">
        <f t="shared" si="4"/>
        <v>#DIV/0!</v>
      </c>
      <c r="N30" s="62" t="e">
        <f t="shared" si="6"/>
        <v>#DIV/0!</v>
      </c>
      <c r="O30" s="58"/>
      <c r="P30" s="58"/>
      <c r="Q30" s="147"/>
      <c r="R30" s="58"/>
      <c r="S30" s="147"/>
      <c r="T30" s="58"/>
      <c r="U30" s="147"/>
      <c r="V30" s="147"/>
      <c r="W30" s="68">
        <f t="shared" si="7"/>
        <v>0</v>
      </c>
      <c r="X30" s="111"/>
      <c r="Y30" s="4">
        <f t="shared" si="8"/>
        <v>0</v>
      </c>
      <c r="Z30" s="64" t="e">
        <f t="shared" si="9"/>
        <v>#DIV/0!</v>
      </c>
      <c r="AA30" s="151" t="e">
        <f t="shared" si="10"/>
        <v>#DIV/0!</v>
      </c>
      <c r="AE30" s="27"/>
    </row>
    <row r="31" spans="1:31" s="9" customFormat="1" x14ac:dyDescent="0.2">
      <c r="A31" s="55">
        <f>'PdC reprise Haut'!A30+1</f>
        <v>20</v>
      </c>
      <c r="B31" s="148"/>
      <c r="C31" s="57"/>
      <c r="D31" s="58"/>
      <c r="E31" s="147"/>
      <c r="F31" s="58"/>
      <c r="G31" s="59"/>
      <c r="H31" s="59"/>
      <c r="I31" s="59"/>
      <c r="J31" s="150"/>
      <c r="K31" s="149" t="e">
        <f t="shared" si="5"/>
        <v>#DIV/0!</v>
      </c>
      <c r="L31" s="61" t="e">
        <f t="shared" si="3"/>
        <v>#DIV/0!</v>
      </c>
      <c r="M31" s="60" t="e">
        <f t="shared" si="4"/>
        <v>#DIV/0!</v>
      </c>
      <c r="N31" s="62" t="e">
        <f t="shared" si="6"/>
        <v>#DIV/0!</v>
      </c>
      <c r="O31" s="58"/>
      <c r="P31" s="58"/>
      <c r="Q31" s="147"/>
      <c r="R31" s="58"/>
      <c r="S31" s="147"/>
      <c r="T31" s="58"/>
      <c r="U31" s="147"/>
      <c r="V31" s="147"/>
      <c r="W31" s="68">
        <f t="shared" si="7"/>
        <v>0</v>
      </c>
      <c r="X31" s="111"/>
      <c r="Y31" s="4">
        <f t="shared" si="8"/>
        <v>0</v>
      </c>
      <c r="Z31" s="64" t="e">
        <f t="shared" si="9"/>
        <v>#DIV/0!</v>
      </c>
      <c r="AA31" s="151" t="e">
        <f t="shared" si="10"/>
        <v>#DIV/0!</v>
      </c>
      <c r="AE31" s="27"/>
    </row>
    <row r="32" spans="1:31" s="9" customFormat="1" x14ac:dyDescent="0.2">
      <c r="A32" s="55">
        <f>'PdC reprise Haut'!A31+1</f>
        <v>21</v>
      </c>
      <c r="B32" s="148"/>
      <c r="C32" s="57"/>
      <c r="D32" s="58"/>
      <c r="E32" s="147"/>
      <c r="F32" s="58"/>
      <c r="G32" s="59"/>
      <c r="H32" s="59"/>
      <c r="I32" s="59"/>
      <c r="J32" s="150"/>
      <c r="K32" s="149" t="e">
        <f t="shared" si="5"/>
        <v>#DIV/0!</v>
      </c>
      <c r="L32" s="61" t="e">
        <f t="shared" si="3"/>
        <v>#DIV/0!</v>
      </c>
      <c r="M32" s="60" t="e">
        <f t="shared" si="4"/>
        <v>#DIV/0!</v>
      </c>
      <c r="N32" s="62" t="e">
        <f t="shared" si="6"/>
        <v>#DIV/0!</v>
      </c>
      <c r="O32" s="58"/>
      <c r="P32" s="58"/>
      <c r="Q32" s="147"/>
      <c r="R32" s="58"/>
      <c r="S32" s="147"/>
      <c r="T32" s="58"/>
      <c r="U32" s="147"/>
      <c r="V32" s="147"/>
      <c r="W32" s="68">
        <f t="shared" si="7"/>
        <v>0</v>
      </c>
      <c r="X32" s="111"/>
      <c r="Y32" s="4">
        <f t="shared" si="8"/>
        <v>0</v>
      </c>
      <c r="Z32" s="64" t="e">
        <f t="shared" si="9"/>
        <v>#DIV/0!</v>
      </c>
      <c r="AA32" s="151" t="e">
        <f t="shared" si="10"/>
        <v>#DIV/0!</v>
      </c>
      <c r="AE32" s="27"/>
    </row>
    <row r="33" spans="1:31" s="9" customFormat="1" x14ac:dyDescent="0.2">
      <c r="A33" s="55">
        <f>'PdC reprise Haut'!A32+1</f>
        <v>22</v>
      </c>
      <c r="B33" s="148"/>
      <c r="C33" s="57"/>
      <c r="D33" s="58"/>
      <c r="E33" s="147"/>
      <c r="F33" s="58"/>
      <c r="G33" s="59"/>
      <c r="H33" s="59"/>
      <c r="I33" s="59"/>
      <c r="J33" s="150"/>
      <c r="K33" s="149" t="e">
        <f t="shared" si="5"/>
        <v>#DIV/0!</v>
      </c>
      <c r="L33" s="61" t="e">
        <f t="shared" si="3"/>
        <v>#DIV/0!</v>
      </c>
      <c r="M33" s="60" t="e">
        <f t="shared" si="4"/>
        <v>#DIV/0!</v>
      </c>
      <c r="N33" s="62" t="e">
        <f t="shared" si="6"/>
        <v>#DIV/0!</v>
      </c>
      <c r="O33" s="58"/>
      <c r="P33" s="58"/>
      <c r="Q33" s="147"/>
      <c r="R33" s="58"/>
      <c r="S33" s="147"/>
      <c r="T33" s="58"/>
      <c r="U33" s="147"/>
      <c r="V33" s="147"/>
      <c r="W33" s="68">
        <f t="shared" si="7"/>
        <v>0</v>
      </c>
      <c r="X33" s="111"/>
      <c r="Y33" s="4">
        <f t="shared" si="8"/>
        <v>0</v>
      </c>
      <c r="Z33" s="64" t="e">
        <f t="shared" si="9"/>
        <v>#DIV/0!</v>
      </c>
      <c r="AA33" s="151" t="e">
        <f t="shared" si="10"/>
        <v>#DIV/0!</v>
      </c>
      <c r="AE33" s="27"/>
    </row>
    <row r="34" spans="1:31" s="9" customFormat="1" x14ac:dyDescent="0.2">
      <c r="A34" s="55">
        <f>'PdC reprise Haut'!A33+1</f>
        <v>23</v>
      </c>
      <c r="B34" s="148"/>
      <c r="C34" s="57"/>
      <c r="D34" s="58"/>
      <c r="E34" s="147"/>
      <c r="F34" s="58"/>
      <c r="G34" s="59"/>
      <c r="H34" s="59"/>
      <c r="I34" s="59"/>
      <c r="J34" s="150"/>
      <c r="K34" s="149" t="e">
        <f t="shared" si="5"/>
        <v>#DIV/0!</v>
      </c>
      <c r="L34" s="61" t="e">
        <f t="shared" si="3"/>
        <v>#DIV/0!</v>
      </c>
      <c r="M34" s="60" t="e">
        <f t="shared" si="4"/>
        <v>#DIV/0!</v>
      </c>
      <c r="N34" s="62" t="e">
        <f t="shared" si="6"/>
        <v>#DIV/0!</v>
      </c>
      <c r="O34" s="58"/>
      <c r="P34" s="58"/>
      <c r="Q34" s="147"/>
      <c r="R34" s="58"/>
      <c r="S34" s="147"/>
      <c r="T34" s="58"/>
      <c r="U34" s="147"/>
      <c r="V34" s="147"/>
      <c r="W34" s="68">
        <f t="shared" si="7"/>
        <v>0</v>
      </c>
      <c r="X34" s="111"/>
      <c r="Y34" s="4">
        <f t="shared" si="8"/>
        <v>0</v>
      </c>
      <c r="Z34" s="64" t="e">
        <f t="shared" si="9"/>
        <v>#DIV/0!</v>
      </c>
      <c r="AA34" s="151" t="e">
        <f t="shared" si="10"/>
        <v>#DIV/0!</v>
      </c>
      <c r="AE34" s="27"/>
    </row>
    <row r="35" spans="1:31" s="9" customFormat="1" x14ac:dyDescent="0.2">
      <c r="A35" s="55">
        <f>'PdC reprise Haut'!A34+1</f>
        <v>24</v>
      </c>
      <c r="B35" s="148"/>
      <c r="C35" s="57"/>
      <c r="D35" s="58"/>
      <c r="E35" s="147"/>
      <c r="F35" s="58"/>
      <c r="G35" s="59"/>
      <c r="H35" s="59"/>
      <c r="I35" s="59"/>
      <c r="J35" s="150"/>
      <c r="K35" s="149" t="e">
        <f t="shared" si="5"/>
        <v>#DIV/0!</v>
      </c>
      <c r="L35" s="61" t="e">
        <f t="shared" si="3"/>
        <v>#DIV/0!</v>
      </c>
      <c r="M35" s="60" t="e">
        <f t="shared" si="4"/>
        <v>#DIV/0!</v>
      </c>
      <c r="N35" s="62" t="e">
        <f t="shared" si="6"/>
        <v>#DIV/0!</v>
      </c>
      <c r="O35" s="58"/>
      <c r="P35" s="58"/>
      <c r="Q35" s="147"/>
      <c r="R35" s="58"/>
      <c r="S35" s="147"/>
      <c r="T35" s="58"/>
      <c r="U35" s="147"/>
      <c r="V35" s="147"/>
      <c r="W35" s="68">
        <f t="shared" si="7"/>
        <v>0</v>
      </c>
      <c r="X35" s="111"/>
      <c r="Y35" s="4">
        <f t="shared" si="8"/>
        <v>0</v>
      </c>
      <c r="Z35" s="64" t="e">
        <f t="shared" si="9"/>
        <v>#DIV/0!</v>
      </c>
      <c r="AA35" s="151" t="e">
        <f t="shared" si="10"/>
        <v>#DIV/0!</v>
      </c>
      <c r="AE35" s="27"/>
    </row>
    <row r="36" spans="1:31" s="9" customFormat="1" x14ac:dyDescent="0.2">
      <c r="A36" s="55">
        <f>'PdC reprise Haut'!A35+1</f>
        <v>25</v>
      </c>
      <c r="B36" s="148"/>
      <c r="C36" s="57"/>
      <c r="D36" s="58"/>
      <c r="E36" s="147"/>
      <c r="F36" s="58"/>
      <c r="G36" s="59"/>
      <c r="H36" s="59"/>
      <c r="I36" s="59"/>
      <c r="J36" s="150"/>
      <c r="K36" s="149" t="e">
        <f t="shared" si="5"/>
        <v>#DIV/0!</v>
      </c>
      <c r="L36" s="61" t="e">
        <f t="shared" si="3"/>
        <v>#DIV/0!</v>
      </c>
      <c r="M36" s="60" t="e">
        <f t="shared" si="4"/>
        <v>#DIV/0!</v>
      </c>
      <c r="N36" s="62" t="e">
        <f t="shared" si="6"/>
        <v>#DIV/0!</v>
      </c>
      <c r="O36" s="58"/>
      <c r="P36" s="58"/>
      <c r="Q36" s="147"/>
      <c r="R36" s="58"/>
      <c r="S36" s="147"/>
      <c r="T36" s="58"/>
      <c r="U36" s="147"/>
      <c r="V36" s="147"/>
      <c r="W36" s="68">
        <f t="shared" si="7"/>
        <v>0</v>
      </c>
      <c r="X36" s="111"/>
      <c r="Y36" s="4">
        <f t="shared" si="8"/>
        <v>0</v>
      </c>
      <c r="Z36" s="64" t="e">
        <f t="shared" si="9"/>
        <v>#DIV/0!</v>
      </c>
      <c r="AA36" s="151" t="e">
        <f t="shared" si="10"/>
        <v>#DIV/0!</v>
      </c>
      <c r="AE36" s="27"/>
    </row>
    <row r="37" spans="1:31" s="9" customFormat="1" x14ac:dyDescent="0.2">
      <c r="A37" s="55">
        <f>'PdC reprise Haut'!A36+1</f>
        <v>26</v>
      </c>
      <c r="B37" s="148"/>
      <c r="C37" s="57"/>
      <c r="D37" s="58"/>
      <c r="E37" s="147"/>
      <c r="F37" s="58"/>
      <c r="G37" s="59"/>
      <c r="H37" s="59"/>
      <c r="I37" s="59"/>
      <c r="J37" s="150"/>
      <c r="K37" s="149" t="e">
        <f t="shared" si="5"/>
        <v>#DIV/0!</v>
      </c>
      <c r="L37" s="61" t="e">
        <f t="shared" si="3"/>
        <v>#DIV/0!</v>
      </c>
      <c r="M37" s="60" t="e">
        <f t="shared" si="4"/>
        <v>#DIV/0!</v>
      </c>
      <c r="N37" s="62" t="e">
        <f t="shared" si="6"/>
        <v>#DIV/0!</v>
      </c>
      <c r="O37" s="58"/>
      <c r="P37" s="58"/>
      <c r="Q37" s="147"/>
      <c r="R37" s="58"/>
      <c r="S37" s="147"/>
      <c r="T37" s="58"/>
      <c r="U37" s="147"/>
      <c r="V37" s="147"/>
      <c r="W37" s="68">
        <f t="shared" si="7"/>
        <v>0</v>
      </c>
      <c r="X37" s="111"/>
      <c r="Y37" s="4">
        <f t="shared" si="8"/>
        <v>0</v>
      </c>
      <c r="Z37" s="64" t="e">
        <f t="shared" si="9"/>
        <v>#DIV/0!</v>
      </c>
      <c r="AA37" s="151" t="e">
        <f t="shared" si="10"/>
        <v>#DIV/0!</v>
      </c>
      <c r="AE37" s="27"/>
    </row>
    <row r="38" spans="1:31" s="9" customFormat="1" x14ac:dyDescent="0.2">
      <c r="A38" s="55">
        <f>'PdC reprise Haut'!A37+1</f>
        <v>27</v>
      </c>
      <c r="B38" s="148"/>
      <c r="C38" s="57"/>
      <c r="D38" s="58"/>
      <c r="E38" s="147"/>
      <c r="F38" s="58"/>
      <c r="G38" s="59"/>
      <c r="H38" s="59"/>
      <c r="I38" s="59"/>
      <c r="J38" s="150"/>
      <c r="K38" s="149" t="e">
        <f t="shared" si="5"/>
        <v>#DIV/0!</v>
      </c>
      <c r="L38" s="61" t="e">
        <f t="shared" si="3"/>
        <v>#DIV/0!</v>
      </c>
      <c r="M38" s="60" t="e">
        <f t="shared" si="4"/>
        <v>#DIV/0!</v>
      </c>
      <c r="N38" s="62" t="e">
        <f t="shared" si="6"/>
        <v>#DIV/0!</v>
      </c>
      <c r="O38" s="58"/>
      <c r="P38" s="58"/>
      <c r="Q38" s="147"/>
      <c r="R38" s="58"/>
      <c r="S38" s="147"/>
      <c r="T38" s="58"/>
      <c r="U38" s="147"/>
      <c r="V38" s="147"/>
      <c r="W38" s="68">
        <f t="shared" si="7"/>
        <v>0</v>
      </c>
      <c r="X38" s="111"/>
      <c r="Y38" s="4">
        <f t="shared" si="8"/>
        <v>0</v>
      </c>
      <c r="Z38" s="64" t="e">
        <f t="shared" si="9"/>
        <v>#DIV/0!</v>
      </c>
      <c r="AA38" s="151" t="e">
        <f t="shared" si="10"/>
        <v>#DIV/0!</v>
      </c>
      <c r="AE38" s="27"/>
    </row>
    <row r="39" spans="1:31" s="9" customFormat="1" x14ac:dyDescent="0.2">
      <c r="A39" s="55">
        <f>'PdC reprise Haut'!A38+1</f>
        <v>28</v>
      </c>
      <c r="B39" s="148"/>
      <c r="C39" s="57"/>
      <c r="D39" s="58"/>
      <c r="E39" s="147"/>
      <c r="F39" s="58"/>
      <c r="G39" s="59"/>
      <c r="H39" s="59"/>
      <c r="I39" s="59"/>
      <c r="J39" s="150"/>
      <c r="K39" s="149" t="e">
        <f t="shared" si="5"/>
        <v>#DIV/0!</v>
      </c>
      <c r="L39" s="61" t="e">
        <f t="shared" si="3"/>
        <v>#DIV/0!</v>
      </c>
      <c r="M39" s="60" t="e">
        <f t="shared" si="4"/>
        <v>#DIV/0!</v>
      </c>
      <c r="N39" s="62" t="e">
        <f t="shared" si="6"/>
        <v>#DIV/0!</v>
      </c>
      <c r="O39" s="58"/>
      <c r="P39" s="58"/>
      <c r="Q39" s="147"/>
      <c r="R39" s="58"/>
      <c r="S39" s="147"/>
      <c r="T39" s="58"/>
      <c r="U39" s="147"/>
      <c r="V39" s="147"/>
      <c r="W39" s="68">
        <f t="shared" si="7"/>
        <v>0</v>
      </c>
      <c r="X39" s="111"/>
      <c r="Y39" s="4">
        <f t="shared" si="8"/>
        <v>0</v>
      </c>
      <c r="Z39" s="64" t="e">
        <f t="shared" si="9"/>
        <v>#DIV/0!</v>
      </c>
      <c r="AA39" s="151" t="e">
        <f t="shared" si="10"/>
        <v>#DIV/0!</v>
      </c>
      <c r="AE39" s="27"/>
    </row>
    <row r="40" spans="1:31" s="9" customFormat="1" x14ac:dyDescent="0.2">
      <c r="A40" s="55">
        <f>'PdC reprise Haut'!A39+1</f>
        <v>29</v>
      </c>
      <c r="B40" s="148"/>
      <c r="C40" s="57"/>
      <c r="D40" s="58"/>
      <c r="E40" s="147"/>
      <c r="F40" s="58"/>
      <c r="G40" s="59"/>
      <c r="H40" s="59"/>
      <c r="I40" s="59"/>
      <c r="J40" s="150"/>
      <c r="K40" s="149" t="e">
        <f t="shared" si="5"/>
        <v>#DIV/0!</v>
      </c>
      <c r="L40" s="61" t="e">
        <f t="shared" si="3"/>
        <v>#DIV/0!</v>
      </c>
      <c r="M40" s="60" t="e">
        <f t="shared" si="4"/>
        <v>#DIV/0!</v>
      </c>
      <c r="N40" s="62" t="e">
        <f t="shared" si="6"/>
        <v>#DIV/0!</v>
      </c>
      <c r="O40" s="58"/>
      <c r="P40" s="58"/>
      <c r="Q40" s="147"/>
      <c r="R40" s="58"/>
      <c r="S40" s="147"/>
      <c r="T40" s="58"/>
      <c r="U40" s="147"/>
      <c r="V40" s="147"/>
      <c r="W40" s="68">
        <f t="shared" si="7"/>
        <v>0</v>
      </c>
      <c r="X40" s="111"/>
      <c r="Y40" s="4">
        <f t="shared" si="8"/>
        <v>0</v>
      </c>
      <c r="Z40" s="64" t="e">
        <f t="shared" si="9"/>
        <v>#DIV/0!</v>
      </c>
      <c r="AA40" s="151" t="e">
        <f t="shared" si="10"/>
        <v>#DIV/0!</v>
      </c>
      <c r="AE40" s="27"/>
    </row>
    <row r="41" spans="1:31" s="9" customFormat="1" x14ac:dyDescent="0.2">
      <c r="A41" s="55">
        <f>'PdC reprise Haut'!A40+1</f>
        <v>30</v>
      </c>
      <c r="B41" s="148"/>
      <c r="C41" s="57"/>
      <c r="D41" s="58"/>
      <c r="E41" s="147"/>
      <c r="F41" s="58"/>
      <c r="G41" s="59"/>
      <c r="H41" s="59"/>
      <c r="I41" s="59"/>
      <c r="J41" s="150"/>
      <c r="K41" s="149" t="e">
        <f t="shared" si="5"/>
        <v>#DIV/0!</v>
      </c>
      <c r="L41" s="61" t="e">
        <f t="shared" si="3"/>
        <v>#DIV/0!</v>
      </c>
      <c r="M41" s="60" t="e">
        <f t="shared" si="4"/>
        <v>#DIV/0!</v>
      </c>
      <c r="N41" s="62" t="e">
        <f t="shared" si="6"/>
        <v>#DIV/0!</v>
      </c>
      <c r="O41" s="58"/>
      <c r="P41" s="58"/>
      <c r="Q41" s="147"/>
      <c r="R41" s="58"/>
      <c r="S41" s="147"/>
      <c r="T41" s="58"/>
      <c r="U41" s="147"/>
      <c r="V41" s="147"/>
      <c r="W41" s="68">
        <f t="shared" si="7"/>
        <v>0</v>
      </c>
      <c r="X41" s="111"/>
      <c r="Y41" s="4">
        <f t="shared" si="8"/>
        <v>0</v>
      </c>
      <c r="Z41" s="64" t="e">
        <f t="shared" si="9"/>
        <v>#DIV/0!</v>
      </c>
      <c r="AA41" s="151" t="e">
        <f t="shared" si="10"/>
        <v>#DIV/0!</v>
      </c>
      <c r="AE41" s="27"/>
    </row>
    <row r="42" spans="1:31" s="9" customFormat="1" x14ac:dyDescent="0.2">
      <c r="A42" s="55">
        <f>'PdC reprise Haut'!A41+1</f>
        <v>31</v>
      </c>
      <c r="B42" s="148"/>
      <c r="C42" s="57"/>
      <c r="D42" s="58"/>
      <c r="E42" s="147"/>
      <c r="F42" s="58"/>
      <c r="G42" s="59"/>
      <c r="H42" s="59"/>
      <c r="I42" s="59"/>
      <c r="J42" s="150"/>
      <c r="K42" s="149" t="e">
        <f t="shared" si="5"/>
        <v>#DIV/0!</v>
      </c>
      <c r="L42" s="61" t="e">
        <f t="shared" si="3"/>
        <v>#DIV/0!</v>
      </c>
      <c r="M42" s="60" t="e">
        <f t="shared" si="4"/>
        <v>#DIV/0!</v>
      </c>
      <c r="N42" s="62" t="e">
        <f t="shared" si="6"/>
        <v>#DIV/0!</v>
      </c>
      <c r="O42" s="58"/>
      <c r="P42" s="58"/>
      <c r="Q42" s="147"/>
      <c r="R42" s="58"/>
      <c r="S42" s="147"/>
      <c r="T42" s="58"/>
      <c r="U42" s="147"/>
      <c r="V42" s="147"/>
      <c r="W42" s="68">
        <f t="shared" si="7"/>
        <v>0</v>
      </c>
      <c r="X42" s="111"/>
      <c r="Y42" s="4">
        <f t="shared" si="8"/>
        <v>0</v>
      </c>
      <c r="Z42" s="64" t="e">
        <f t="shared" si="9"/>
        <v>#DIV/0!</v>
      </c>
      <c r="AA42" s="151" t="e">
        <f t="shared" si="10"/>
        <v>#DIV/0!</v>
      </c>
      <c r="AE42" s="27"/>
    </row>
    <row r="43" spans="1:31" s="9" customFormat="1" x14ac:dyDescent="0.2">
      <c r="A43" s="55">
        <f>'PdC reprise Haut'!A42+1</f>
        <v>32</v>
      </c>
      <c r="B43" s="148"/>
      <c r="C43" s="57"/>
      <c r="D43" s="58"/>
      <c r="E43" s="147"/>
      <c r="F43" s="58"/>
      <c r="G43" s="59"/>
      <c r="H43" s="59"/>
      <c r="I43" s="59"/>
      <c r="J43" s="150"/>
      <c r="K43" s="149" t="e">
        <f t="shared" si="5"/>
        <v>#DIV/0!</v>
      </c>
      <c r="L43" s="61" t="e">
        <f t="shared" si="3"/>
        <v>#DIV/0!</v>
      </c>
      <c r="M43" s="60" t="e">
        <f t="shared" si="4"/>
        <v>#DIV/0!</v>
      </c>
      <c r="N43" s="62" t="e">
        <f t="shared" si="6"/>
        <v>#DIV/0!</v>
      </c>
      <c r="O43" s="58"/>
      <c r="P43" s="58"/>
      <c r="Q43" s="147"/>
      <c r="R43" s="58"/>
      <c r="S43" s="147"/>
      <c r="T43" s="58"/>
      <c r="U43" s="147"/>
      <c r="V43" s="147"/>
      <c r="W43" s="68">
        <f t="shared" si="7"/>
        <v>0</v>
      </c>
      <c r="X43" s="111"/>
      <c r="Y43" s="4">
        <f t="shared" si="8"/>
        <v>0</v>
      </c>
      <c r="Z43" s="64" t="e">
        <f t="shared" si="9"/>
        <v>#DIV/0!</v>
      </c>
      <c r="AA43" s="151" t="e">
        <f t="shared" si="10"/>
        <v>#DIV/0!</v>
      </c>
      <c r="AE43" s="27"/>
    </row>
    <row r="44" spans="1:31" s="9" customFormat="1" x14ac:dyDescent="0.2">
      <c r="A44" s="55">
        <f>'PdC reprise Haut'!A43+1</f>
        <v>33</v>
      </c>
      <c r="B44" s="148"/>
      <c r="C44" s="57"/>
      <c r="D44" s="58"/>
      <c r="E44" s="147"/>
      <c r="F44" s="58"/>
      <c r="G44" s="59"/>
      <c r="H44" s="59"/>
      <c r="I44" s="59"/>
      <c r="J44" s="150"/>
      <c r="K44" s="149" t="e">
        <f t="shared" si="5"/>
        <v>#DIV/0!</v>
      </c>
      <c r="L44" s="61" t="e">
        <f t="shared" si="3"/>
        <v>#DIV/0!</v>
      </c>
      <c r="M44" s="60" t="e">
        <f t="shared" si="4"/>
        <v>#DIV/0!</v>
      </c>
      <c r="N44" s="62" t="e">
        <f t="shared" si="6"/>
        <v>#DIV/0!</v>
      </c>
      <c r="O44" s="58"/>
      <c r="P44" s="58"/>
      <c r="Q44" s="147"/>
      <c r="R44" s="58"/>
      <c r="S44" s="147"/>
      <c r="T44" s="58"/>
      <c r="U44" s="147"/>
      <c r="V44" s="147"/>
      <c r="W44" s="68">
        <f t="shared" si="7"/>
        <v>0</v>
      </c>
      <c r="X44" s="111"/>
      <c r="Y44" s="4">
        <f t="shared" si="8"/>
        <v>0</v>
      </c>
      <c r="Z44" s="64" t="e">
        <f t="shared" si="9"/>
        <v>#DIV/0!</v>
      </c>
      <c r="AA44" s="151" t="e">
        <f t="shared" si="10"/>
        <v>#DIV/0!</v>
      </c>
      <c r="AE44" s="27"/>
    </row>
    <row r="45" spans="1:31" s="9" customFormat="1" x14ac:dyDescent="0.2">
      <c r="A45" s="55">
        <f>'PdC reprise Haut'!A44+1</f>
        <v>34</v>
      </c>
      <c r="B45" s="148"/>
      <c r="C45" s="57"/>
      <c r="D45" s="58"/>
      <c r="E45" s="147"/>
      <c r="F45" s="58"/>
      <c r="G45" s="59"/>
      <c r="H45" s="59"/>
      <c r="I45" s="59"/>
      <c r="J45" s="150"/>
      <c r="K45" s="149" t="e">
        <f t="shared" si="5"/>
        <v>#DIV/0!</v>
      </c>
      <c r="L45" s="61" t="e">
        <f t="shared" si="3"/>
        <v>#DIV/0!</v>
      </c>
      <c r="M45" s="60" t="e">
        <f t="shared" si="4"/>
        <v>#DIV/0!</v>
      </c>
      <c r="N45" s="62" t="e">
        <f t="shared" si="6"/>
        <v>#DIV/0!</v>
      </c>
      <c r="O45" s="58"/>
      <c r="P45" s="58"/>
      <c r="Q45" s="147"/>
      <c r="R45" s="58"/>
      <c r="S45" s="147"/>
      <c r="T45" s="58"/>
      <c r="U45" s="147"/>
      <c r="V45" s="147"/>
      <c r="W45" s="68">
        <f t="shared" si="7"/>
        <v>0</v>
      </c>
      <c r="X45" s="111"/>
      <c r="Y45" s="4">
        <f t="shared" si="8"/>
        <v>0</v>
      </c>
      <c r="Z45" s="64" t="e">
        <f t="shared" si="9"/>
        <v>#DIV/0!</v>
      </c>
      <c r="AA45" s="151" t="e">
        <f t="shared" si="10"/>
        <v>#DIV/0!</v>
      </c>
      <c r="AE45" s="27"/>
    </row>
    <row r="46" spans="1:31" s="9" customFormat="1" x14ac:dyDescent="0.2">
      <c r="A46" s="55">
        <f>'PdC reprise Haut'!A45+1</f>
        <v>35</v>
      </c>
      <c r="B46" s="148"/>
      <c r="C46" s="57"/>
      <c r="D46" s="58"/>
      <c r="E46" s="147"/>
      <c r="F46" s="58"/>
      <c r="G46" s="59"/>
      <c r="H46" s="59"/>
      <c r="I46" s="59"/>
      <c r="J46" s="150"/>
      <c r="K46" s="149" t="e">
        <f t="shared" si="5"/>
        <v>#DIV/0!</v>
      </c>
      <c r="L46" s="61" t="e">
        <f t="shared" si="3"/>
        <v>#DIV/0!</v>
      </c>
      <c r="M46" s="60" t="e">
        <f t="shared" si="4"/>
        <v>#DIV/0!</v>
      </c>
      <c r="N46" s="62" t="e">
        <f t="shared" si="6"/>
        <v>#DIV/0!</v>
      </c>
      <c r="O46" s="58"/>
      <c r="P46" s="58"/>
      <c r="Q46" s="147"/>
      <c r="R46" s="58"/>
      <c r="S46" s="147"/>
      <c r="T46" s="58"/>
      <c r="U46" s="147"/>
      <c r="V46" s="147"/>
      <c r="W46" s="68">
        <f t="shared" si="7"/>
        <v>0</v>
      </c>
      <c r="X46" s="111"/>
      <c r="Y46" s="4">
        <f t="shared" si="8"/>
        <v>0</v>
      </c>
      <c r="Z46" s="64" t="e">
        <f t="shared" si="9"/>
        <v>#DIV/0!</v>
      </c>
      <c r="AA46" s="151" t="e">
        <f t="shared" si="10"/>
        <v>#DIV/0!</v>
      </c>
      <c r="AE46" s="27"/>
    </row>
    <row r="47" spans="1:31" s="9" customFormat="1" x14ac:dyDescent="0.2">
      <c r="A47" s="55">
        <f>'PdC reprise Haut'!A46+1</f>
        <v>36</v>
      </c>
      <c r="B47" s="148"/>
      <c r="C47" s="57"/>
      <c r="D47" s="58"/>
      <c r="E47" s="147"/>
      <c r="F47" s="58"/>
      <c r="G47" s="59"/>
      <c r="H47" s="59"/>
      <c r="I47" s="59"/>
      <c r="J47" s="150"/>
      <c r="K47" s="149" t="e">
        <f t="shared" si="5"/>
        <v>#DIV/0!</v>
      </c>
      <c r="L47" s="61" t="e">
        <f t="shared" si="3"/>
        <v>#DIV/0!</v>
      </c>
      <c r="M47" s="60" t="e">
        <f t="shared" si="4"/>
        <v>#DIV/0!</v>
      </c>
      <c r="N47" s="62" t="e">
        <f t="shared" si="6"/>
        <v>#DIV/0!</v>
      </c>
      <c r="O47" s="58"/>
      <c r="P47" s="58"/>
      <c r="Q47" s="147"/>
      <c r="R47" s="58"/>
      <c r="S47" s="147"/>
      <c r="T47" s="58"/>
      <c r="U47" s="147"/>
      <c r="V47" s="147"/>
      <c r="W47" s="68">
        <f t="shared" si="7"/>
        <v>0</v>
      </c>
      <c r="X47" s="111"/>
      <c r="Y47" s="4">
        <f t="shared" si="8"/>
        <v>0</v>
      </c>
      <c r="Z47" s="64" t="e">
        <f t="shared" si="9"/>
        <v>#DIV/0!</v>
      </c>
      <c r="AA47" s="151" t="e">
        <f t="shared" si="10"/>
        <v>#DIV/0!</v>
      </c>
      <c r="AE47" s="27"/>
    </row>
    <row r="48" spans="1:31" s="9" customFormat="1" x14ac:dyDescent="0.2">
      <c r="A48" s="55">
        <f>'PdC reprise Haut'!A47+1</f>
        <v>37</v>
      </c>
      <c r="B48" s="148"/>
      <c r="C48" s="57"/>
      <c r="D48" s="58"/>
      <c r="E48" s="147"/>
      <c r="F48" s="58"/>
      <c r="G48" s="59"/>
      <c r="H48" s="59"/>
      <c r="I48" s="59"/>
      <c r="J48" s="150"/>
      <c r="K48" s="149" t="e">
        <f t="shared" si="5"/>
        <v>#DIV/0!</v>
      </c>
      <c r="L48" s="61" t="e">
        <f t="shared" si="3"/>
        <v>#DIV/0!</v>
      </c>
      <c r="M48" s="60" t="e">
        <f t="shared" si="4"/>
        <v>#DIV/0!</v>
      </c>
      <c r="N48" s="62" t="e">
        <f t="shared" si="6"/>
        <v>#DIV/0!</v>
      </c>
      <c r="O48" s="58"/>
      <c r="P48" s="58"/>
      <c r="Q48" s="147"/>
      <c r="R48" s="58"/>
      <c r="S48" s="147"/>
      <c r="T48" s="58"/>
      <c r="U48" s="147"/>
      <c r="V48" s="147"/>
      <c r="W48" s="68">
        <f t="shared" si="7"/>
        <v>0</v>
      </c>
      <c r="X48" s="111"/>
      <c r="Y48" s="4">
        <f t="shared" si="8"/>
        <v>0</v>
      </c>
      <c r="Z48" s="64" t="e">
        <f t="shared" si="9"/>
        <v>#DIV/0!</v>
      </c>
      <c r="AA48" s="151" t="e">
        <f t="shared" si="10"/>
        <v>#DIV/0!</v>
      </c>
      <c r="AE48" s="27"/>
    </row>
    <row r="49" spans="1:31" s="9" customFormat="1" x14ac:dyDescent="0.2">
      <c r="A49" s="55">
        <f>'PdC reprise Haut'!A48+1</f>
        <v>38</v>
      </c>
      <c r="B49" s="148"/>
      <c r="C49" s="57"/>
      <c r="D49" s="58"/>
      <c r="E49" s="147"/>
      <c r="F49" s="58"/>
      <c r="G49" s="59"/>
      <c r="H49" s="59"/>
      <c r="I49" s="59"/>
      <c r="J49" s="150"/>
      <c r="K49" s="149" t="e">
        <f t="shared" si="5"/>
        <v>#DIV/0!</v>
      </c>
      <c r="L49" s="61" t="e">
        <f t="shared" si="3"/>
        <v>#DIV/0!</v>
      </c>
      <c r="M49" s="60" t="e">
        <f t="shared" si="4"/>
        <v>#DIV/0!</v>
      </c>
      <c r="N49" s="62" t="e">
        <f t="shared" si="6"/>
        <v>#DIV/0!</v>
      </c>
      <c r="O49" s="58"/>
      <c r="P49" s="58"/>
      <c r="Q49" s="147"/>
      <c r="R49" s="58"/>
      <c r="S49" s="147"/>
      <c r="T49" s="58"/>
      <c r="U49" s="147"/>
      <c r="V49" s="147"/>
      <c r="W49" s="68">
        <f t="shared" si="7"/>
        <v>0</v>
      </c>
      <c r="X49" s="111"/>
      <c r="Y49" s="4">
        <f t="shared" si="8"/>
        <v>0</v>
      </c>
      <c r="Z49" s="64" t="e">
        <f t="shared" si="9"/>
        <v>#DIV/0!</v>
      </c>
      <c r="AA49" s="151" t="e">
        <f t="shared" si="10"/>
        <v>#DIV/0!</v>
      </c>
      <c r="AE49" s="27"/>
    </row>
    <row r="50" spans="1:31" s="9" customFormat="1" x14ac:dyDescent="0.2">
      <c r="A50" s="55">
        <f>'PdC reprise Haut'!A49+1</f>
        <v>39</v>
      </c>
      <c r="B50" s="148"/>
      <c r="C50" s="57"/>
      <c r="D50" s="58"/>
      <c r="E50" s="147"/>
      <c r="F50" s="58"/>
      <c r="G50" s="59"/>
      <c r="H50" s="59"/>
      <c r="I50" s="59"/>
      <c r="J50" s="150"/>
      <c r="K50" s="149" t="e">
        <f t="shared" si="5"/>
        <v>#DIV/0!</v>
      </c>
      <c r="L50" s="61" t="e">
        <f t="shared" si="3"/>
        <v>#DIV/0!</v>
      </c>
      <c r="M50" s="60" t="e">
        <f t="shared" si="4"/>
        <v>#DIV/0!</v>
      </c>
      <c r="N50" s="62" t="e">
        <f t="shared" si="6"/>
        <v>#DIV/0!</v>
      </c>
      <c r="O50" s="58"/>
      <c r="P50" s="58"/>
      <c r="Q50" s="147"/>
      <c r="R50" s="58"/>
      <c r="S50" s="147"/>
      <c r="T50" s="58"/>
      <c r="U50" s="147"/>
      <c r="V50" s="147"/>
      <c r="W50" s="68">
        <f t="shared" si="7"/>
        <v>0</v>
      </c>
      <c r="X50" s="111"/>
      <c r="Y50" s="4">
        <f t="shared" si="8"/>
        <v>0</v>
      </c>
      <c r="Z50" s="64" t="e">
        <f t="shared" si="9"/>
        <v>#DIV/0!</v>
      </c>
      <c r="AA50" s="151" t="e">
        <f t="shared" si="10"/>
        <v>#DIV/0!</v>
      </c>
      <c r="AE50" s="27"/>
    </row>
    <row r="51" spans="1:31" s="9" customFormat="1" x14ac:dyDescent="0.2">
      <c r="A51" s="55">
        <f>'PdC reprise Haut'!A50+1</f>
        <v>40</v>
      </c>
      <c r="B51" s="148"/>
      <c r="C51" s="57"/>
      <c r="D51" s="58"/>
      <c r="E51" s="147"/>
      <c r="F51" s="58"/>
      <c r="G51" s="59"/>
      <c r="H51" s="59"/>
      <c r="I51" s="59"/>
      <c r="J51" s="150"/>
      <c r="K51" s="149" t="e">
        <f t="shared" si="5"/>
        <v>#DIV/0!</v>
      </c>
      <c r="L51" s="61" t="e">
        <f t="shared" si="3"/>
        <v>#DIV/0!</v>
      </c>
      <c r="M51" s="60" t="e">
        <f t="shared" si="4"/>
        <v>#DIV/0!</v>
      </c>
      <c r="N51" s="62" t="e">
        <f t="shared" si="6"/>
        <v>#DIV/0!</v>
      </c>
      <c r="O51" s="58"/>
      <c r="P51" s="58"/>
      <c r="Q51" s="147"/>
      <c r="R51" s="58"/>
      <c r="S51" s="147"/>
      <c r="T51" s="58"/>
      <c r="U51" s="147"/>
      <c r="V51" s="147"/>
      <c r="W51" s="68">
        <f t="shared" si="7"/>
        <v>0</v>
      </c>
      <c r="X51" s="111"/>
      <c r="Y51" s="4">
        <f t="shared" si="8"/>
        <v>0</v>
      </c>
      <c r="Z51" s="64" t="e">
        <f t="shared" si="9"/>
        <v>#DIV/0!</v>
      </c>
      <c r="AA51" s="151" t="e">
        <f t="shared" si="10"/>
        <v>#DIV/0!</v>
      </c>
      <c r="AE51" s="27"/>
    </row>
    <row r="52" spans="1:31" s="9" customFormat="1" x14ac:dyDescent="0.2">
      <c r="A52" s="55">
        <f>'PdC reprise Haut'!A51+1</f>
        <v>41</v>
      </c>
      <c r="B52" s="148"/>
      <c r="C52" s="57"/>
      <c r="D52" s="58"/>
      <c r="E52" s="147"/>
      <c r="F52" s="58"/>
      <c r="G52" s="59"/>
      <c r="H52" s="59"/>
      <c r="I52" s="59"/>
      <c r="J52" s="150"/>
      <c r="K52" s="149" t="e">
        <f t="shared" si="5"/>
        <v>#DIV/0!</v>
      </c>
      <c r="L52" s="61" t="e">
        <f t="shared" si="3"/>
        <v>#DIV/0!</v>
      </c>
      <c r="M52" s="60" t="e">
        <f t="shared" si="4"/>
        <v>#DIV/0!</v>
      </c>
      <c r="N52" s="62" t="e">
        <f t="shared" si="6"/>
        <v>#DIV/0!</v>
      </c>
      <c r="O52" s="58"/>
      <c r="P52" s="58"/>
      <c r="Q52" s="147"/>
      <c r="R52" s="58"/>
      <c r="S52" s="147"/>
      <c r="T52" s="58"/>
      <c r="U52" s="147"/>
      <c r="V52" s="147"/>
      <c r="W52" s="68">
        <f t="shared" si="7"/>
        <v>0</v>
      </c>
      <c r="X52" s="111"/>
      <c r="Y52" s="4">
        <f t="shared" si="8"/>
        <v>0</v>
      </c>
      <c r="Z52" s="64" t="e">
        <f t="shared" si="9"/>
        <v>#DIV/0!</v>
      </c>
      <c r="AA52" s="151" t="e">
        <f t="shared" si="10"/>
        <v>#DIV/0!</v>
      </c>
      <c r="AE52" s="27"/>
    </row>
    <row r="53" spans="1:31" s="9" customFormat="1" x14ac:dyDescent="0.2">
      <c r="A53" s="55">
        <f>'PdC reprise Haut'!A52+1</f>
        <v>42</v>
      </c>
      <c r="B53" s="148"/>
      <c r="C53" s="57"/>
      <c r="D53" s="58"/>
      <c r="E53" s="147"/>
      <c r="F53" s="58"/>
      <c r="G53" s="59"/>
      <c r="H53" s="59"/>
      <c r="I53" s="59"/>
      <c r="J53" s="150"/>
      <c r="K53" s="149" t="e">
        <f t="shared" si="5"/>
        <v>#DIV/0!</v>
      </c>
      <c r="L53" s="61" t="e">
        <f t="shared" si="3"/>
        <v>#DIV/0!</v>
      </c>
      <c r="M53" s="60" t="e">
        <f t="shared" si="4"/>
        <v>#DIV/0!</v>
      </c>
      <c r="N53" s="62" t="e">
        <f t="shared" si="6"/>
        <v>#DIV/0!</v>
      </c>
      <c r="O53" s="58"/>
      <c r="P53" s="58"/>
      <c r="Q53" s="147"/>
      <c r="R53" s="58"/>
      <c r="S53" s="147"/>
      <c r="T53" s="58"/>
      <c r="U53" s="147"/>
      <c r="V53" s="147"/>
      <c r="W53" s="68">
        <f t="shared" si="7"/>
        <v>0</v>
      </c>
      <c r="X53" s="111"/>
      <c r="Y53" s="4">
        <f t="shared" si="8"/>
        <v>0</v>
      </c>
      <c r="Z53" s="64" t="e">
        <f t="shared" si="9"/>
        <v>#DIV/0!</v>
      </c>
      <c r="AA53" s="151" t="e">
        <f t="shared" si="10"/>
        <v>#DIV/0!</v>
      </c>
      <c r="AE53" s="27"/>
    </row>
    <row r="54" spans="1:31" s="66" customFormat="1" x14ac:dyDescent="0.2">
      <c r="A54" s="79"/>
      <c r="B54" s="80"/>
      <c r="C54" s="80"/>
      <c r="D54" s="81"/>
      <c r="E54" s="82"/>
      <c r="F54" s="83"/>
      <c r="G54" s="82"/>
      <c r="H54" s="82"/>
      <c r="I54" s="82"/>
      <c r="J54" s="82"/>
      <c r="K54" s="82"/>
      <c r="L54" s="82"/>
      <c r="M54" s="84"/>
      <c r="N54" s="82"/>
      <c r="O54" s="85"/>
      <c r="P54" s="82"/>
      <c r="Q54" s="82"/>
      <c r="R54" s="82"/>
      <c r="S54" s="82"/>
      <c r="T54" s="82"/>
      <c r="U54" s="82"/>
      <c r="V54" s="82"/>
      <c r="W54" s="82"/>
      <c r="X54" s="82"/>
      <c r="Y54" s="83"/>
      <c r="Z54" s="85"/>
      <c r="AA54" s="144"/>
      <c r="AE54" s="67"/>
    </row>
    <row r="55" spans="1:31" s="66" customFormat="1" x14ac:dyDescent="0.2">
      <c r="A55" s="55"/>
      <c r="B55" s="56"/>
      <c r="C55" s="57"/>
      <c r="D55" s="58"/>
      <c r="E55" s="58"/>
      <c r="F55" s="58"/>
      <c r="G55" s="59"/>
      <c r="H55" s="59"/>
      <c r="I55" s="59"/>
      <c r="J55" s="58"/>
      <c r="K55" s="60"/>
      <c r="L55" s="61"/>
      <c r="M55" s="60"/>
      <c r="N55" s="62"/>
      <c r="O55" s="58"/>
      <c r="P55" s="58"/>
      <c r="Q55" s="58"/>
      <c r="R55" s="58"/>
      <c r="S55" s="58"/>
      <c r="T55" s="58"/>
      <c r="U55" s="58"/>
      <c r="V55" s="58"/>
      <c r="W55" s="58"/>
      <c r="X55" s="63"/>
      <c r="Y55" s="62"/>
      <c r="Z55" s="64"/>
      <c r="AA55" s="65"/>
      <c r="AE55" s="67"/>
    </row>
    <row r="56" spans="1:31" s="66" customFormat="1" x14ac:dyDescent="0.2">
      <c r="A56" s="55"/>
      <c r="B56" s="56"/>
      <c r="C56" s="57"/>
      <c r="D56" s="58"/>
      <c r="E56" s="58"/>
      <c r="F56" s="58"/>
      <c r="G56" s="59"/>
      <c r="H56" s="59"/>
      <c r="I56" s="59"/>
      <c r="J56" s="58"/>
      <c r="K56" s="60"/>
      <c r="L56" s="61"/>
      <c r="M56" s="60"/>
      <c r="N56" s="62"/>
      <c r="O56" s="58"/>
      <c r="P56" s="58"/>
      <c r="Q56" s="58"/>
      <c r="R56" s="58"/>
      <c r="S56" s="58"/>
      <c r="T56" s="58"/>
      <c r="U56" s="58"/>
      <c r="V56" s="58"/>
      <c r="W56" s="58"/>
      <c r="X56" s="63"/>
      <c r="Y56" s="62"/>
      <c r="Z56" s="64"/>
      <c r="AA56" s="65"/>
      <c r="AE56" s="67"/>
    </row>
    <row r="57" spans="1:31" s="66" customFormat="1" ht="13.5" thickBot="1" x14ac:dyDescent="0.25">
      <c r="A57" s="55"/>
      <c r="B57" s="56"/>
      <c r="C57" s="57"/>
      <c r="D57" s="58"/>
      <c r="E57" s="58"/>
      <c r="F57" s="58"/>
      <c r="G57" s="59"/>
      <c r="H57" s="59"/>
      <c r="I57" s="59"/>
      <c r="J57" s="58"/>
      <c r="K57" s="60"/>
      <c r="L57" s="61"/>
      <c r="M57" s="60"/>
      <c r="N57" s="62"/>
      <c r="O57" s="58"/>
      <c r="P57" s="58"/>
      <c r="Q57" s="58"/>
      <c r="R57" s="58"/>
      <c r="S57" s="58"/>
      <c r="T57" s="58"/>
      <c r="U57" s="58"/>
      <c r="V57" s="58"/>
      <c r="W57" s="58"/>
      <c r="X57" s="63"/>
      <c r="Y57" s="62"/>
      <c r="Z57" s="64"/>
      <c r="AA57" s="65"/>
      <c r="AE57" s="67"/>
    </row>
    <row r="58" spans="1:31" s="66" customFormat="1" ht="13.5" thickBot="1" x14ac:dyDescent="0.25">
      <c r="A58" s="55"/>
      <c r="B58" s="56"/>
      <c r="C58" s="57"/>
      <c r="D58" s="58"/>
      <c r="E58" s="58"/>
      <c r="F58" s="68"/>
      <c r="G58" s="59"/>
      <c r="H58" s="59"/>
      <c r="I58" s="59"/>
      <c r="J58" s="68"/>
      <c r="K58" s="60"/>
      <c r="L58" s="61"/>
      <c r="M58" s="60"/>
      <c r="N58" s="62"/>
      <c r="O58" s="58"/>
      <c r="P58" s="58"/>
      <c r="Q58" s="58"/>
      <c r="R58" s="58"/>
      <c r="S58" s="58"/>
      <c r="T58" s="58"/>
      <c r="U58" s="58"/>
      <c r="V58" s="58"/>
      <c r="W58" s="58"/>
      <c r="X58" s="63"/>
      <c r="Y58" s="62"/>
      <c r="Z58" s="95"/>
      <c r="AA58" s="96" t="e">
        <f>SUM(AA12:AA53)</f>
        <v>#DIV/0!</v>
      </c>
      <c r="AE58" s="67"/>
    </row>
    <row r="59" spans="1:31" s="66" customFormat="1" ht="13.5" thickBot="1" x14ac:dyDescent="0.25">
      <c r="A59" s="55"/>
      <c r="B59" s="56"/>
      <c r="C59" s="57"/>
      <c r="D59" s="58"/>
      <c r="E59" s="58"/>
      <c r="F59" s="58"/>
      <c r="G59" s="59"/>
      <c r="H59" s="59"/>
      <c r="I59" s="59"/>
      <c r="J59" s="58"/>
      <c r="K59" s="60"/>
      <c r="L59" s="61"/>
      <c r="M59" s="60"/>
      <c r="N59" s="62"/>
      <c r="O59" s="58"/>
      <c r="P59" s="58"/>
      <c r="Q59" s="58"/>
      <c r="R59" s="58"/>
      <c r="S59" s="58"/>
      <c r="T59" s="58"/>
      <c r="U59" s="58"/>
      <c r="V59" s="58"/>
      <c r="W59" s="58"/>
      <c r="X59" s="69"/>
      <c r="Y59" s="62"/>
      <c r="Z59" s="64"/>
      <c r="AA59" s="65"/>
      <c r="AE59" s="67"/>
    </row>
    <row r="60" spans="1:31" s="2" customFormat="1" x14ac:dyDescent="0.2">
      <c r="A60" s="98"/>
      <c r="B60" s="99"/>
      <c r="C60" s="100"/>
      <c r="D60" s="100"/>
      <c r="E60" s="100"/>
      <c r="F60" s="101"/>
      <c r="G60" s="101"/>
      <c r="H60" s="101"/>
      <c r="I60" s="101"/>
      <c r="J60" s="101"/>
      <c r="K60" s="101"/>
      <c r="L60" s="101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  <c r="Y60" s="103"/>
      <c r="Z60" s="104"/>
      <c r="AA60" s="105"/>
    </row>
    <row r="61" spans="1:31" s="2" customFormat="1" x14ac:dyDescent="0.2">
      <c r="A61" s="24"/>
      <c r="B61" s="29"/>
      <c r="C61" s="30"/>
      <c r="D61" s="30"/>
      <c r="E61" s="30"/>
      <c r="F61" s="6"/>
      <c r="G61" s="6"/>
      <c r="H61" s="6"/>
      <c r="I61" s="6"/>
      <c r="J61" s="6"/>
      <c r="K61" s="6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26"/>
      <c r="Z61" s="26"/>
      <c r="AA61" s="106" t="e">
        <f>AA58*1.2</f>
        <v>#DIV/0!</v>
      </c>
    </row>
    <row r="62" spans="1:31" s="2" customFormat="1" x14ac:dyDescent="0.2">
      <c r="A62" s="31"/>
      <c r="B62" s="32"/>
      <c r="C62" s="77"/>
      <c r="D62" s="77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 t="s">
        <v>79</v>
      </c>
      <c r="R62" s="33"/>
      <c r="S62" s="97" t="e">
        <f>AA58</f>
        <v>#DIV/0!</v>
      </c>
      <c r="T62" s="33"/>
      <c r="U62" s="33" t="s">
        <v>21</v>
      </c>
      <c r="V62" s="145" t="e">
        <f>#REF!</f>
        <v>#REF!</v>
      </c>
      <c r="W62" s="33" t="s">
        <v>14</v>
      </c>
      <c r="X62" s="33"/>
      <c r="Y62" s="33"/>
      <c r="Z62" s="33"/>
      <c r="AA62" s="34"/>
    </row>
    <row r="63" spans="1:31" s="2" customFormat="1" x14ac:dyDescent="0.2">
      <c r="A63" s="31"/>
      <c r="B63" s="32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97"/>
      <c r="T63" s="33"/>
      <c r="U63" s="33"/>
      <c r="V63" s="33"/>
      <c r="W63" s="33"/>
      <c r="X63" s="33"/>
      <c r="Y63" s="33"/>
      <c r="Z63" s="33"/>
      <c r="AA63" s="34"/>
    </row>
    <row r="64" spans="1:31" s="2" customFormat="1" ht="13.5" thickBot="1" x14ac:dyDescent="0.25">
      <c r="A64" s="35"/>
      <c r="B64" s="36"/>
      <c r="C64" s="37"/>
      <c r="D64" s="37"/>
      <c r="E64" s="37"/>
      <c r="F64" s="38"/>
      <c r="G64" s="38"/>
      <c r="H64" s="38"/>
      <c r="I64" s="38"/>
      <c r="J64" s="38"/>
      <c r="K64" s="38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40"/>
      <c r="Z64" s="40"/>
      <c r="AA64" s="107"/>
    </row>
  </sheetData>
  <mergeCells count="4">
    <mergeCell ref="J4:N4"/>
    <mergeCell ref="O4:X4"/>
    <mergeCell ref="C5:E5"/>
    <mergeCell ref="C6:E6"/>
  </mergeCells>
  <pageMargins left="0.7" right="0.7" top="0.75" bottom="0.75" header="0.3" footer="0.3"/>
  <pageSetup paperSize="9" scale="58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34BF2-B16E-4A66-8189-DF825F9D696E}">
  <sheetPr>
    <pageSetUpPr fitToPage="1"/>
  </sheetPr>
  <dimension ref="A1:CK28"/>
  <sheetViews>
    <sheetView zoomScale="85" zoomScaleNormal="85" workbookViewId="0">
      <selection activeCell="V27" sqref="V27"/>
    </sheetView>
  </sheetViews>
  <sheetFormatPr baseColWidth="10" defaultRowHeight="12.75" x14ac:dyDescent="0.2"/>
  <cols>
    <col min="1" max="1" width="15.5703125" style="7" bestFit="1" customWidth="1"/>
    <col min="2" max="2" width="10.5703125" style="41" bestFit="1" customWidth="1"/>
    <col min="3" max="3" width="7.7109375" style="7" customWidth="1"/>
    <col min="4" max="4" width="7.85546875" style="7" customWidth="1"/>
    <col min="5" max="5" width="9.7109375" style="7" customWidth="1"/>
    <col min="6" max="6" width="12.85546875" style="7" hidden="1" customWidth="1"/>
    <col min="7" max="9" width="17.28515625" style="7" hidden="1" customWidth="1"/>
    <col min="10" max="10" width="9.28515625" style="5" customWidth="1"/>
    <col min="11" max="11" width="12.85546875" style="7" customWidth="1"/>
    <col min="12" max="12" width="9.28515625" style="5" customWidth="1"/>
    <col min="13" max="13" width="9.140625" style="5" customWidth="1"/>
    <col min="14" max="14" width="10.5703125" style="5" customWidth="1"/>
    <col min="15" max="15" width="10.42578125" style="5" customWidth="1"/>
    <col min="16" max="17" width="8.42578125" style="5" bestFit="1" customWidth="1"/>
    <col min="18" max="18" width="6" style="5" bestFit="1" customWidth="1"/>
    <col min="19" max="19" width="8.5703125" style="5" customWidth="1"/>
    <col min="20" max="20" width="10.140625" style="5" hidden="1" customWidth="1"/>
    <col min="21" max="23" width="9" style="5" bestFit="1" customWidth="1"/>
    <col min="24" max="24" width="30.28515625" style="5" bestFit="1" customWidth="1"/>
    <col min="25" max="25" width="9" style="7" customWidth="1"/>
    <col min="26" max="26" width="10.140625" style="7" bestFit="1" customWidth="1"/>
    <col min="27" max="27" width="9.42578125" style="42" bestFit="1" customWidth="1"/>
    <col min="28" max="28" width="5.28515625" style="7" customWidth="1"/>
    <col min="29" max="29" width="6.140625" style="7" hidden="1" customWidth="1"/>
    <col min="30" max="30" width="5.5703125" style="7" hidden="1" customWidth="1"/>
    <col min="31" max="32" width="8" style="7" hidden="1" customWidth="1"/>
    <col min="33" max="33" width="12.42578125" style="7" bestFit="1" customWidth="1"/>
    <col min="34" max="16384" width="11.42578125" style="7"/>
  </cols>
  <sheetData>
    <row r="1" spans="1:89" ht="18" customHeight="1" x14ac:dyDescent="0.2">
      <c r="A1" s="43" t="s">
        <v>83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72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</row>
    <row r="2" spans="1:89" ht="18" customHeight="1" thickBot="1" x14ac:dyDescent="0.25">
      <c r="A2" s="140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2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</row>
    <row r="3" spans="1:89" ht="24" thickBot="1" x14ac:dyDescent="0.25">
      <c r="A3" s="131" t="s">
        <v>32</v>
      </c>
      <c r="B3" s="132">
        <v>1.5099999999999999E-5</v>
      </c>
      <c r="C3" s="133" t="s">
        <v>31</v>
      </c>
      <c r="D3" s="44"/>
      <c r="E3" s="44"/>
      <c r="F3" s="44"/>
      <c r="G3" s="44"/>
      <c r="H3" s="44"/>
      <c r="I3" s="44"/>
      <c r="J3" s="134"/>
      <c r="K3" s="135" t="s">
        <v>33</v>
      </c>
      <c r="L3" s="136">
        <f>0.15/1000</f>
        <v>1.4999999999999999E-4</v>
      </c>
      <c r="M3" s="137" t="s">
        <v>17</v>
      </c>
      <c r="N3" s="138" t="s">
        <v>34</v>
      </c>
      <c r="O3" s="136">
        <v>1.204</v>
      </c>
      <c r="P3" s="139" t="s">
        <v>35</v>
      </c>
      <c r="Q3" s="52"/>
      <c r="R3" s="53"/>
      <c r="S3" s="53"/>
      <c r="T3" s="53"/>
      <c r="U3" s="53"/>
      <c r="V3" s="53"/>
      <c r="W3" s="53"/>
      <c r="X3" s="53"/>
      <c r="Y3" s="108"/>
      <c r="Z3" s="108"/>
      <c r="AA3" s="10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</row>
    <row r="4" spans="1:89" ht="16.5" thickBot="1" x14ac:dyDescent="0.25">
      <c r="A4" s="126"/>
      <c r="B4" s="127"/>
      <c r="C4" s="128"/>
      <c r="D4" s="128"/>
      <c r="E4" s="128"/>
      <c r="F4" s="129"/>
      <c r="G4" s="128"/>
      <c r="H4" s="128"/>
      <c r="I4" s="128"/>
      <c r="J4" s="152" t="s">
        <v>82</v>
      </c>
      <c r="K4" s="153"/>
      <c r="L4" s="153"/>
      <c r="M4" s="153"/>
      <c r="N4" s="154"/>
      <c r="O4" s="153" t="s">
        <v>49</v>
      </c>
      <c r="P4" s="153"/>
      <c r="Q4" s="153"/>
      <c r="R4" s="153"/>
      <c r="S4" s="153"/>
      <c r="T4" s="153"/>
      <c r="U4" s="153"/>
      <c r="V4" s="153"/>
      <c r="W4" s="153"/>
      <c r="X4" s="155"/>
      <c r="Y4" s="130"/>
      <c r="Z4" s="109"/>
      <c r="AA4" s="110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</row>
    <row r="5" spans="1:89" s="2" customFormat="1" x14ac:dyDescent="0.2">
      <c r="A5" s="71" t="s">
        <v>1</v>
      </c>
      <c r="B5" s="19" t="s">
        <v>1</v>
      </c>
      <c r="C5" s="156"/>
      <c r="D5" s="157"/>
      <c r="E5" s="158"/>
      <c r="F5" s="10"/>
      <c r="G5" s="10"/>
      <c r="H5" s="10"/>
      <c r="I5" s="10"/>
      <c r="J5" s="10" t="s">
        <v>2</v>
      </c>
      <c r="K5" s="10"/>
      <c r="L5" s="10" t="s">
        <v>1</v>
      </c>
      <c r="M5" s="15" t="s">
        <v>1</v>
      </c>
      <c r="N5" s="8" t="s">
        <v>3</v>
      </c>
      <c r="O5" s="10" t="s">
        <v>38</v>
      </c>
      <c r="P5" s="10" t="s">
        <v>38</v>
      </c>
      <c r="Q5" s="10" t="s">
        <v>38</v>
      </c>
      <c r="R5" s="10" t="s">
        <v>38</v>
      </c>
      <c r="S5" s="10" t="s">
        <v>42</v>
      </c>
      <c r="T5" s="10" t="s">
        <v>43</v>
      </c>
      <c r="U5" s="10" t="s">
        <v>45</v>
      </c>
      <c r="V5" s="10" t="s">
        <v>45</v>
      </c>
      <c r="W5" s="10"/>
      <c r="X5" s="10" t="s">
        <v>2</v>
      </c>
      <c r="Y5" s="15" t="s">
        <v>2</v>
      </c>
      <c r="Z5" s="46" t="s">
        <v>2</v>
      </c>
      <c r="AA5" s="73" t="s">
        <v>0</v>
      </c>
    </row>
    <row r="6" spans="1:89" s="2" customFormat="1" ht="18" x14ac:dyDescent="0.2">
      <c r="A6" s="71" t="s">
        <v>5</v>
      </c>
      <c r="B6" s="16" t="s">
        <v>6</v>
      </c>
      <c r="C6" s="159" t="s">
        <v>20</v>
      </c>
      <c r="D6" s="160"/>
      <c r="E6" s="161"/>
      <c r="F6" s="10" t="s">
        <v>29</v>
      </c>
      <c r="G6" s="10" t="s">
        <v>36</v>
      </c>
      <c r="H6" s="10" t="s">
        <v>36</v>
      </c>
      <c r="I6" s="10" t="s">
        <v>30</v>
      </c>
      <c r="J6" s="10" t="s">
        <v>7</v>
      </c>
      <c r="K6" s="10" t="s">
        <v>8</v>
      </c>
      <c r="L6" s="10" t="s">
        <v>9</v>
      </c>
      <c r="M6" s="15" t="s">
        <v>10</v>
      </c>
      <c r="N6" s="8" t="s">
        <v>11</v>
      </c>
      <c r="O6" s="10" t="s">
        <v>50</v>
      </c>
      <c r="P6" s="10" t="s">
        <v>50</v>
      </c>
      <c r="Q6" s="10" t="s">
        <v>39</v>
      </c>
      <c r="R6" s="10" t="s">
        <v>39</v>
      </c>
      <c r="S6" s="10"/>
      <c r="T6" s="10" t="s">
        <v>44</v>
      </c>
      <c r="U6" s="10" t="s">
        <v>47</v>
      </c>
      <c r="V6" s="10" t="s">
        <v>48</v>
      </c>
      <c r="W6" s="10" t="s">
        <v>56</v>
      </c>
      <c r="X6" s="10" t="s">
        <v>12</v>
      </c>
      <c r="Y6" s="13" t="s">
        <v>53</v>
      </c>
      <c r="Z6" s="12" t="s">
        <v>52</v>
      </c>
      <c r="AA6" s="74" t="s">
        <v>4</v>
      </c>
    </row>
    <row r="7" spans="1:89" s="2" customFormat="1" x14ac:dyDescent="0.2">
      <c r="A7" s="71" t="s">
        <v>1</v>
      </c>
      <c r="B7" s="16"/>
      <c r="C7" s="22" t="s">
        <v>15</v>
      </c>
      <c r="D7" s="20" t="s">
        <v>16</v>
      </c>
      <c r="E7" s="23" t="s">
        <v>37</v>
      </c>
      <c r="F7" s="10"/>
      <c r="G7" s="10"/>
      <c r="H7" s="10"/>
      <c r="I7" s="10"/>
      <c r="J7" s="10"/>
      <c r="K7" s="10"/>
      <c r="L7" s="10"/>
      <c r="M7" s="15"/>
      <c r="N7" s="8" t="s">
        <v>21</v>
      </c>
      <c r="O7" s="11" t="s">
        <v>41</v>
      </c>
      <c r="P7" s="11" t="s">
        <v>40</v>
      </c>
      <c r="Q7" s="11" t="s">
        <v>41</v>
      </c>
      <c r="R7" s="11" t="s">
        <v>40</v>
      </c>
      <c r="S7" s="11"/>
      <c r="T7" s="11"/>
      <c r="U7" s="11"/>
      <c r="V7" s="10"/>
      <c r="W7" s="10"/>
      <c r="X7" s="10" t="s">
        <v>2</v>
      </c>
      <c r="Y7" s="15" t="s">
        <v>2</v>
      </c>
      <c r="Z7" s="21"/>
      <c r="AA7" s="74" t="s">
        <v>13</v>
      </c>
    </row>
    <row r="8" spans="1:89" s="2" customFormat="1" ht="18" x14ac:dyDescent="0.2">
      <c r="A8" s="71" t="s">
        <v>1</v>
      </c>
      <c r="B8" s="19" t="s">
        <v>1</v>
      </c>
      <c r="C8" s="17"/>
      <c r="D8" s="10"/>
      <c r="E8" s="14"/>
      <c r="F8" s="10"/>
      <c r="G8" s="10"/>
      <c r="H8" s="10"/>
      <c r="I8" s="10"/>
      <c r="J8" s="10" t="s">
        <v>2</v>
      </c>
      <c r="K8" s="10"/>
      <c r="L8" s="10"/>
      <c r="M8" s="15" t="s">
        <v>1</v>
      </c>
      <c r="N8" s="12" t="s">
        <v>51</v>
      </c>
      <c r="O8" s="12" t="s">
        <v>46</v>
      </c>
      <c r="P8" s="12" t="s">
        <v>46</v>
      </c>
      <c r="Q8" s="12" t="s">
        <v>46</v>
      </c>
      <c r="R8" s="12" t="s">
        <v>46</v>
      </c>
      <c r="S8" s="12" t="s">
        <v>46</v>
      </c>
      <c r="T8" s="12" t="s">
        <v>46</v>
      </c>
      <c r="U8" s="12" t="s">
        <v>46</v>
      </c>
      <c r="V8" s="12" t="s">
        <v>46</v>
      </c>
      <c r="W8" s="12"/>
      <c r="X8" s="10" t="s">
        <v>2</v>
      </c>
      <c r="Y8" s="15" t="s">
        <v>2</v>
      </c>
      <c r="Z8" s="21"/>
      <c r="AA8" s="74"/>
    </row>
    <row r="9" spans="1:89" s="2" customFormat="1" ht="18" x14ac:dyDescent="0.2">
      <c r="A9" s="71"/>
      <c r="B9" s="19"/>
      <c r="C9" s="17"/>
      <c r="D9" s="10"/>
      <c r="E9" s="14"/>
      <c r="F9" s="10"/>
      <c r="G9" s="10"/>
      <c r="H9" s="10"/>
      <c r="I9" s="10"/>
      <c r="J9" s="10"/>
      <c r="K9" s="10"/>
      <c r="L9" s="10"/>
      <c r="M9" s="15"/>
      <c r="N9" s="8"/>
      <c r="O9" s="12">
        <v>0.8</v>
      </c>
      <c r="P9" s="12">
        <v>0.5</v>
      </c>
      <c r="Q9" s="12">
        <v>0.5</v>
      </c>
      <c r="R9" s="12">
        <v>0.25</v>
      </c>
      <c r="S9" s="12">
        <v>0.25</v>
      </c>
      <c r="T9" s="12">
        <v>1.5</v>
      </c>
      <c r="U9" s="12">
        <v>0.2</v>
      </c>
      <c r="V9" s="12">
        <v>1.7</v>
      </c>
      <c r="W9" s="12"/>
      <c r="X9" s="10"/>
      <c r="Y9" s="15"/>
      <c r="Z9" s="21"/>
      <c r="AA9" s="74"/>
    </row>
    <row r="10" spans="1:89" s="2" customFormat="1" x14ac:dyDescent="0.2">
      <c r="A10" s="75"/>
      <c r="B10" s="47" t="s">
        <v>14</v>
      </c>
      <c r="C10" s="70" t="s">
        <v>19</v>
      </c>
      <c r="D10" s="25" t="s">
        <v>19</v>
      </c>
      <c r="E10" s="28" t="s">
        <v>19</v>
      </c>
      <c r="F10" s="25"/>
      <c r="G10" s="25"/>
      <c r="H10" s="25"/>
      <c r="I10" s="25"/>
      <c r="J10" s="25" t="s">
        <v>17</v>
      </c>
      <c r="K10" s="25" t="s">
        <v>22</v>
      </c>
      <c r="L10" s="25" t="s">
        <v>21</v>
      </c>
      <c r="M10" s="48" t="s">
        <v>18</v>
      </c>
      <c r="N10" s="49"/>
      <c r="O10" s="25" t="s">
        <v>54</v>
      </c>
      <c r="P10" s="25" t="s">
        <v>54</v>
      </c>
      <c r="Q10" s="25" t="s">
        <v>54</v>
      </c>
      <c r="R10" s="25" t="s">
        <v>54</v>
      </c>
      <c r="S10" s="25" t="s">
        <v>54</v>
      </c>
      <c r="T10" s="25" t="s">
        <v>54</v>
      </c>
      <c r="U10" s="25" t="s">
        <v>54</v>
      </c>
      <c r="V10" s="25" t="s">
        <v>54</v>
      </c>
      <c r="W10" s="25"/>
      <c r="X10" s="45"/>
      <c r="Y10" s="50"/>
      <c r="Z10" s="51" t="s">
        <v>21</v>
      </c>
      <c r="AA10" s="76" t="s">
        <v>21</v>
      </c>
    </row>
    <row r="11" spans="1:89" s="9" customFormat="1" x14ac:dyDescent="0.2">
      <c r="A11" s="143" t="s">
        <v>86</v>
      </c>
      <c r="B11" s="87"/>
      <c r="C11" s="88"/>
      <c r="D11" s="89"/>
      <c r="E11" s="90"/>
      <c r="F11" s="89"/>
      <c r="G11" s="89"/>
      <c r="H11" s="89"/>
      <c r="I11" s="89"/>
      <c r="J11" s="89"/>
      <c r="K11" s="89"/>
      <c r="L11" s="91"/>
      <c r="M11" s="89"/>
      <c r="N11" s="92"/>
      <c r="O11" s="89"/>
      <c r="P11" s="89"/>
      <c r="Q11" s="89"/>
      <c r="R11" s="89"/>
      <c r="S11" s="89"/>
      <c r="T11" s="89"/>
      <c r="U11" s="89"/>
      <c r="V11" s="89"/>
      <c r="W11" s="89"/>
      <c r="X11" s="90"/>
      <c r="Y11" s="92"/>
      <c r="Z11" s="93"/>
      <c r="AA11" s="94"/>
    </row>
    <row r="12" spans="1:89" s="9" customFormat="1" x14ac:dyDescent="0.2">
      <c r="A12" s="55" t="s">
        <v>64</v>
      </c>
      <c r="B12" s="56">
        <v>1325</v>
      </c>
      <c r="C12" s="57"/>
      <c r="D12" s="58"/>
      <c r="E12" s="58">
        <v>400</v>
      </c>
      <c r="F12" s="58">
        <f t="shared" ref="F12:F16" si="0">M12*(E12/1000)/$B$3</f>
        <v>77586.63639436377</v>
      </c>
      <c r="G12" s="59">
        <f t="shared" ref="G12:G16" si="1">IF(F12&lt;2000,64/F12,0.11*POWER((($L$3/(E12/1000))+(68/F12)),0.25))</f>
        <v>2.0689269552234608E-2</v>
      </c>
      <c r="H12" s="59">
        <f>IF(G12&lt;0.018,G12*0.85+0.0028,G12)</f>
        <v>2.0689269552234608E-2</v>
      </c>
      <c r="I12" s="59">
        <f t="shared" ref="I12:I16" si="2">IF(F12&lt;2000,G12,H12)</f>
        <v>2.0689269552234608E-2</v>
      </c>
      <c r="J12" s="58">
        <v>1</v>
      </c>
      <c r="K12" s="60">
        <f t="shared" ref="K12:K16" si="3">I12/(E12/1000)*$O$3*M12*M12/2</f>
        <v>0.26710955170699008</v>
      </c>
      <c r="L12" s="61">
        <f t="shared" ref="L12:L16" si="4">J12*K12</f>
        <v>0.26710955170699008</v>
      </c>
      <c r="M12" s="60">
        <f t="shared" ref="M12:M16" si="5">IF(C12=0,B12/3600/3.14159/(E12/1000)/(E12/1000)*4,(B12/3600)/(C12/1000)/(D12/1000))</f>
        <v>2.9288955238872321</v>
      </c>
      <c r="N12" s="62">
        <f t="shared" ref="N12:N16" si="6">$O$3*M12*M12/2</f>
        <v>5.1642142518876915</v>
      </c>
      <c r="O12" s="58"/>
      <c r="P12" s="58"/>
      <c r="Q12" s="58">
        <v>1</v>
      </c>
      <c r="R12" s="58"/>
      <c r="S12" s="58"/>
      <c r="T12" s="58"/>
      <c r="U12" s="58"/>
      <c r="V12" s="58"/>
      <c r="W12" s="58">
        <v>75</v>
      </c>
      <c r="X12" s="69" t="s">
        <v>84</v>
      </c>
      <c r="Y12" s="4">
        <f t="shared" ref="Y12:Y16" si="7">Q12*$Q$9+R12*$R$9+S12*$S$9+T12*$T$9+U12*$U$9+V12*$V$9+O12*$O$9+P12*$P$9</f>
        <v>0.5</v>
      </c>
      <c r="Z12" s="64">
        <f>N12*Y12+W12</f>
        <v>77.58210712594385</v>
      </c>
      <c r="AA12" s="54">
        <f>ROUND(L12+Z12,0)</f>
        <v>78</v>
      </c>
      <c r="AE12" s="27"/>
    </row>
    <row r="13" spans="1:89" s="9" customFormat="1" x14ac:dyDescent="0.2">
      <c r="A13" s="55" t="s">
        <v>65</v>
      </c>
      <c r="B13" s="56">
        <f>B12+1325</f>
        <v>2650</v>
      </c>
      <c r="C13" s="57">
        <v>500</v>
      </c>
      <c r="D13" s="58">
        <v>400</v>
      </c>
      <c r="E13" s="58">
        <f>IF(C13=0,dia(B13)/1000,POWER(3.24228*(((C13/1000)*(D13/1000))*((C13/1000)*(D13/1000))*((C13/1000)*(D13/1000)))/(((C13/1000)+(D13/1000))),0.2))*1000</f>
        <v>491.97110832833357</v>
      </c>
      <c r="F13" s="58">
        <f t="shared" si="0"/>
        <v>119915.69509474651</v>
      </c>
      <c r="G13" s="59">
        <f t="shared" si="1"/>
        <v>1.890240008475828E-2</v>
      </c>
      <c r="H13" s="59">
        <f t="shared" ref="H13:H16" si="8">IF(G13&lt;0.018,G13*0.85+0.0028,G13)</f>
        <v>1.890240008475828E-2</v>
      </c>
      <c r="I13" s="59">
        <f t="shared" si="2"/>
        <v>1.890240008475828E-2</v>
      </c>
      <c r="J13" s="58">
        <v>2</v>
      </c>
      <c r="K13" s="60">
        <f t="shared" si="3"/>
        <v>0.31332900416498743</v>
      </c>
      <c r="L13" s="61">
        <f t="shared" si="4"/>
        <v>0.62665800832997487</v>
      </c>
      <c r="M13" s="60">
        <f t="shared" si="5"/>
        <v>3.6805555555555558</v>
      </c>
      <c r="N13" s="62">
        <f t="shared" si="6"/>
        <v>8.1549864969135815</v>
      </c>
      <c r="O13" s="58"/>
      <c r="P13" s="58"/>
      <c r="Q13" s="58"/>
      <c r="R13" s="58"/>
      <c r="S13" s="58"/>
      <c r="T13" s="58"/>
      <c r="U13" s="58">
        <v>1</v>
      </c>
      <c r="V13" s="58">
        <v>1</v>
      </c>
      <c r="W13" s="58"/>
      <c r="X13" s="111"/>
      <c r="Y13" s="4">
        <f t="shared" si="7"/>
        <v>1.9</v>
      </c>
      <c r="Z13" s="64">
        <f t="shared" ref="Z13:Z16" si="9">N13*Y13+W13</f>
        <v>15.494474344135805</v>
      </c>
      <c r="AA13" s="54">
        <f t="shared" ref="AA13:AA16" si="10">ROUND(L13+Z13,0)</f>
        <v>16</v>
      </c>
      <c r="AE13" s="27"/>
      <c r="AF13" s="9" t="s">
        <v>23</v>
      </c>
    </row>
    <row r="14" spans="1:89" s="9" customFormat="1" x14ac:dyDescent="0.2">
      <c r="A14" s="55" t="s">
        <v>66</v>
      </c>
      <c r="B14" s="56">
        <f>1200+B13</f>
        <v>3850</v>
      </c>
      <c r="C14" s="57">
        <v>700</v>
      </c>
      <c r="D14" s="58">
        <v>400</v>
      </c>
      <c r="E14" s="58">
        <f>IF(C14=0,dia(B14)/1000,POWER(3.24228*(((C14/1000)*(D14/1000))*((C14/1000)*(D14/1000))*((C14/1000)*(D14/1000)))/(((C14/1000)+(D14/1000))),0.2))*1000</f>
        <v>578.34420091191555</v>
      </c>
      <c r="F14" s="58">
        <f t="shared" si="0"/>
        <v>146288.31424832303</v>
      </c>
      <c r="G14" s="59">
        <f t="shared" si="1"/>
        <v>1.8044996696109591E-2</v>
      </c>
      <c r="H14" s="59">
        <f t="shared" si="8"/>
        <v>1.8044996696109591E-2</v>
      </c>
      <c r="I14" s="59">
        <f t="shared" si="2"/>
        <v>1.8044996696109591E-2</v>
      </c>
      <c r="J14" s="58">
        <v>2</v>
      </c>
      <c r="K14" s="60">
        <f t="shared" si="3"/>
        <v>0.27401056468091972</v>
      </c>
      <c r="L14" s="61">
        <f t="shared" si="4"/>
        <v>0.54802112936183944</v>
      </c>
      <c r="M14" s="60">
        <f t="shared" si="5"/>
        <v>3.8194444444444446</v>
      </c>
      <c r="N14" s="62">
        <f t="shared" si="6"/>
        <v>8.7820698302469147</v>
      </c>
      <c r="O14" s="58"/>
      <c r="P14" s="58"/>
      <c r="Q14" s="58"/>
      <c r="R14" s="58"/>
      <c r="S14" s="58"/>
      <c r="T14" s="58"/>
      <c r="U14" s="58">
        <v>1</v>
      </c>
      <c r="V14" s="58"/>
      <c r="W14" s="58"/>
      <c r="X14" s="63"/>
      <c r="Y14" s="4">
        <f t="shared" si="7"/>
        <v>0.2</v>
      </c>
      <c r="Z14" s="64">
        <f t="shared" si="9"/>
        <v>1.7564139660493829</v>
      </c>
      <c r="AA14" s="54">
        <f t="shared" si="10"/>
        <v>2</v>
      </c>
      <c r="AE14" s="27"/>
      <c r="AF14" s="9" t="s">
        <v>24</v>
      </c>
    </row>
    <row r="15" spans="1:89" s="66" customFormat="1" x14ac:dyDescent="0.2">
      <c r="A15" s="55" t="s">
        <v>67</v>
      </c>
      <c r="B15" s="56">
        <f>B14+1200</f>
        <v>5050</v>
      </c>
      <c r="C15" s="57">
        <v>700</v>
      </c>
      <c r="D15" s="58">
        <v>400</v>
      </c>
      <c r="E15" s="58">
        <f>IF(C15=0,dia(B15)/1000,POWER(3.24228*(((C15/1000)*(D15/1000))*((C15/1000)*(D15/1000))*((C15/1000)*(D15/1000)))/(((C15/1000)+(D15/1000))),0.2))*1000</f>
        <v>578.34420091191555</v>
      </c>
      <c r="F15" s="58">
        <f t="shared" si="0"/>
        <v>191884.67193611196</v>
      </c>
      <c r="G15" s="59">
        <f t="shared" si="1"/>
        <v>1.7313660912533866E-2</v>
      </c>
      <c r="H15" s="59">
        <f t="shared" si="8"/>
        <v>1.7516611775653786E-2</v>
      </c>
      <c r="I15" s="59">
        <f t="shared" si="2"/>
        <v>1.7516611775653786E-2</v>
      </c>
      <c r="J15" s="58">
        <v>18</v>
      </c>
      <c r="K15" s="60">
        <f t="shared" si="3"/>
        <v>0.45763781432521089</v>
      </c>
      <c r="L15" s="61">
        <f t="shared" si="4"/>
        <v>8.237480657853796</v>
      </c>
      <c r="M15" s="60">
        <f t="shared" si="5"/>
        <v>5.0099206349206344</v>
      </c>
      <c r="N15" s="62">
        <f t="shared" si="6"/>
        <v>15.109781470458548</v>
      </c>
      <c r="O15" s="58">
        <v>6</v>
      </c>
      <c r="P15" s="58"/>
      <c r="Q15" s="58"/>
      <c r="R15" s="58"/>
      <c r="S15" s="58"/>
      <c r="T15" s="58"/>
      <c r="U15" s="58">
        <v>1</v>
      </c>
      <c r="V15" s="58"/>
      <c r="W15" s="58">
        <v>120</v>
      </c>
      <c r="X15" s="63" t="s">
        <v>85</v>
      </c>
      <c r="Y15" s="62">
        <f t="shared" si="7"/>
        <v>5.0000000000000009</v>
      </c>
      <c r="Z15" s="64">
        <f t="shared" si="9"/>
        <v>195.54890735229276</v>
      </c>
      <c r="AA15" s="65">
        <f t="shared" si="10"/>
        <v>204</v>
      </c>
      <c r="AB15" s="9"/>
      <c r="AE15" s="67"/>
      <c r="AF15" s="66" t="s">
        <v>26</v>
      </c>
    </row>
    <row r="16" spans="1:89" s="9" customFormat="1" x14ac:dyDescent="0.2">
      <c r="A16" s="55" t="s">
        <v>68</v>
      </c>
      <c r="B16" s="56">
        <f>1400+5050</f>
        <v>6450</v>
      </c>
      <c r="C16" s="57">
        <v>800</v>
      </c>
      <c r="D16" s="58">
        <v>400</v>
      </c>
      <c r="E16" s="58">
        <f>IF(C16=0,dia(B16)/1000,POWER(3.24228*(((C16/1000)*(D16/1000))*((C16/1000)*(D16/1000))*((C16/1000)*(D16/1000)))/(((C16/1000)+(D16/1000))),0.2))*1000</f>
        <v>615.77753567157765</v>
      </c>
      <c r="F16" s="58">
        <f t="shared" si="0"/>
        <v>228325.3486640956</v>
      </c>
      <c r="G16" s="59">
        <f t="shared" si="1"/>
        <v>1.6779355525197402E-2</v>
      </c>
      <c r="H16" s="59">
        <f t="shared" si="8"/>
        <v>1.7062452196417791E-2</v>
      </c>
      <c r="I16" s="59">
        <f t="shared" si="2"/>
        <v>1.7062452196417791E-2</v>
      </c>
      <c r="J16" s="58">
        <v>15</v>
      </c>
      <c r="K16" s="60">
        <f t="shared" si="3"/>
        <v>0.52291195234089882</v>
      </c>
      <c r="L16" s="61">
        <f t="shared" si="4"/>
        <v>7.843679285113482</v>
      </c>
      <c r="M16" s="60">
        <f t="shared" si="5"/>
        <v>5.598958333333333</v>
      </c>
      <c r="N16" s="62">
        <f t="shared" si="6"/>
        <v>18.871697319878468</v>
      </c>
      <c r="O16" s="58">
        <v>5</v>
      </c>
      <c r="P16" s="58"/>
      <c r="Q16" s="58"/>
      <c r="R16" s="58"/>
      <c r="S16" s="58"/>
      <c r="T16" s="58"/>
      <c r="U16" s="58">
        <v>1</v>
      </c>
      <c r="V16" s="58">
        <v>0</v>
      </c>
      <c r="W16" s="58">
        <v>15</v>
      </c>
      <c r="X16" s="63" t="s">
        <v>72</v>
      </c>
      <c r="Y16" s="4">
        <f t="shared" si="7"/>
        <v>4.2</v>
      </c>
      <c r="Z16" s="64">
        <f t="shared" si="9"/>
        <v>94.261128743489564</v>
      </c>
      <c r="AA16" s="54">
        <f t="shared" si="10"/>
        <v>102</v>
      </c>
      <c r="AE16" s="27"/>
      <c r="AF16" s="9" t="s">
        <v>23</v>
      </c>
    </row>
    <row r="17" spans="1:31" s="66" customFormat="1" ht="13.5" customHeight="1" x14ac:dyDescent="0.2">
      <c r="A17" s="55"/>
      <c r="B17" s="56"/>
      <c r="C17" s="57"/>
      <c r="D17" s="58"/>
      <c r="E17" s="58"/>
      <c r="F17" s="58"/>
      <c r="G17" s="59"/>
      <c r="H17" s="59"/>
      <c r="I17" s="59"/>
      <c r="J17" s="58"/>
      <c r="K17" s="60"/>
      <c r="L17" s="61"/>
      <c r="M17" s="60"/>
      <c r="N17" s="62"/>
      <c r="O17" s="58"/>
      <c r="P17" s="58"/>
      <c r="Q17" s="58"/>
      <c r="R17" s="58"/>
      <c r="S17" s="58"/>
      <c r="T17" s="58"/>
      <c r="U17" s="58"/>
      <c r="V17" s="58"/>
      <c r="W17" s="58"/>
      <c r="X17" s="63"/>
      <c r="Y17" s="62"/>
      <c r="Z17" s="64"/>
      <c r="AA17" s="65"/>
      <c r="AE17" s="67"/>
    </row>
    <row r="18" spans="1:31" s="66" customFormat="1" x14ac:dyDescent="0.2">
      <c r="A18" s="79"/>
      <c r="B18" s="80"/>
      <c r="C18" s="80"/>
      <c r="D18" s="81"/>
      <c r="E18" s="82"/>
      <c r="F18" s="83"/>
      <c r="G18" s="82"/>
      <c r="H18" s="82"/>
      <c r="I18" s="82"/>
      <c r="J18" s="82"/>
      <c r="K18" s="82"/>
      <c r="L18" s="82"/>
      <c r="M18" s="84"/>
      <c r="N18" s="82"/>
      <c r="O18" s="85"/>
      <c r="P18" s="82"/>
      <c r="Q18" s="82"/>
      <c r="R18" s="82"/>
      <c r="S18" s="82"/>
      <c r="T18" s="82"/>
      <c r="U18" s="82"/>
      <c r="V18" s="82"/>
      <c r="W18" s="82"/>
      <c r="X18" s="82"/>
      <c r="Y18" s="83"/>
      <c r="Z18" s="85"/>
      <c r="AA18" s="144"/>
      <c r="AE18" s="67"/>
    </row>
    <row r="19" spans="1:31" s="66" customFormat="1" x14ac:dyDescent="0.2">
      <c r="A19" s="55"/>
      <c r="B19" s="56"/>
      <c r="C19" s="57"/>
      <c r="D19" s="58"/>
      <c r="E19" s="58"/>
      <c r="F19" s="58"/>
      <c r="G19" s="59"/>
      <c r="H19" s="59"/>
      <c r="I19" s="59"/>
      <c r="J19" s="58"/>
      <c r="K19" s="60"/>
      <c r="L19" s="61"/>
      <c r="M19" s="60"/>
      <c r="N19" s="62"/>
      <c r="O19" s="58"/>
      <c r="P19" s="58"/>
      <c r="Q19" s="58"/>
      <c r="R19" s="58"/>
      <c r="S19" s="58"/>
      <c r="T19" s="58"/>
      <c r="U19" s="58"/>
      <c r="V19" s="58"/>
      <c r="W19" s="58"/>
      <c r="X19" s="63"/>
      <c r="Y19" s="62"/>
      <c r="Z19" s="64"/>
      <c r="AA19" s="65"/>
      <c r="AE19" s="67"/>
    </row>
    <row r="20" spans="1:31" s="66" customFormat="1" x14ac:dyDescent="0.2">
      <c r="A20" s="55"/>
      <c r="B20" s="56"/>
      <c r="C20" s="57"/>
      <c r="D20" s="58"/>
      <c r="E20" s="58"/>
      <c r="F20" s="58"/>
      <c r="G20" s="59"/>
      <c r="H20" s="59"/>
      <c r="I20" s="59"/>
      <c r="J20" s="58"/>
      <c r="K20" s="60"/>
      <c r="L20" s="61"/>
      <c r="M20" s="60"/>
      <c r="N20" s="62"/>
      <c r="O20" s="58"/>
      <c r="P20" s="58"/>
      <c r="Q20" s="58"/>
      <c r="R20" s="58"/>
      <c r="S20" s="58"/>
      <c r="T20" s="58"/>
      <c r="U20" s="58"/>
      <c r="V20" s="58"/>
      <c r="W20" s="58"/>
      <c r="X20" s="63"/>
      <c r="Y20" s="62"/>
      <c r="Z20" s="64"/>
      <c r="AA20" s="65"/>
      <c r="AE20" s="67"/>
    </row>
    <row r="21" spans="1:31" s="66" customFormat="1" ht="13.5" thickBot="1" x14ac:dyDescent="0.25">
      <c r="A21" s="55"/>
      <c r="B21" s="56"/>
      <c r="C21" s="57"/>
      <c r="D21" s="58"/>
      <c r="E21" s="58"/>
      <c r="F21" s="58"/>
      <c r="G21" s="59"/>
      <c r="H21" s="59"/>
      <c r="I21" s="59"/>
      <c r="J21" s="58"/>
      <c r="K21" s="60"/>
      <c r="L21" s="61"/>
      <c r="M21" s="60"/>
      <c r="N21" s="62"/>
      <c r="O21" s="58"/>
      <c r="P21" s="58"/>
      <c r="Q21" s="58"/>
      <c r="R21" s="58"/>
      <c r="S21" s="58"/>
      <c r="T21" s="58"/>
      <c r="U21" s="58"/>
      <c r="V21" s="58"/>
      <c r="W21" s="58"/>
      <c r="X21" s="63"/>
      <c r="Y21" s="62"/>
      <c r="Z21" s="64"/>
      <c r="AA21" s="65"/>
      <c r="AE21" s="67"/>
    </row>
    <row r="22" spans="1:31" s="66" customFormat="1" ht="13.5" thickBot="1" x14ac:dyDescent="0.25">
      <c r="A22" s="55"/>
      <c r="B22" s="56"/>
      <c r="C22" s="57"/>
      <c r="D22" s="58"/>
      <c r="E22" s="58"/>
      <c r="F22" s="68"/>
      <c r="G22" s="59"/>
      <c r="H22" s="59"/>
      <c r="I22" s="59"/>
      <c r="J22" s="68"/>
      <c r="K22" s="60"/>
      <c r="L22" s="61"/>
      <c r="M22" s="60"/>
      <c r="N22" s="62"/>
      <c r="O22" s="58"/>
      <c r="P22" s="58"/>
      <c r="Q22" s="58"/>
      <c r="R22" s="58"/>
      <c r="S22" s="58"/>
      <c r="T22" s="58"/>
      <c r="U22" s="58"/>
      <c r="V22" s="58"/>
      <c r="W22" s="58"/>
      <c r="X22" s="63"/>
      <c r="Y22" s="62"/>
      <c r="Z22" s="95"/>
      <c r="AA22" s="96">
        <f>SUM(AA12:AA21)</f>
        <v>402</v>
      </c>
      <c r="AE22" s="67"/>
    </row>
    <row r="23" spans="1:31" s="66" customFormat="1" ht="13.5" thickBot="1" x14ac:dyDescent="0.25">
      <c r="A23" s="55"/>
      <c r="B23" s="56"/>
      <c r="C23" s="57"/>
      <c r="D23" s="58"/>
      <c r="E23" s="58"/>
      <c r="F23" s="58"/>
      <c r="G23" s="59"/>
      <c r="H23" s="59"/>
      <c r="I23" s="59"/>
      <c r="J23" s="58"/>
      <c r="K23" s="60"/>
      <c r="L23" s="61"/>
      <c r="M23" s="60"/>
      <c r="N23" s="62"/>
      <c r="O23" s="58"/>
      <c r="P23" s="58"/>
      <c r="Q23" s="58"/>
      <c r="R23" s="58"/>
      <c r="S23" s="58"/>
      <c r="T23" s="58"/>
      <c r="U23" s="58"/>
      <c r="V23" s="58"/>
      <c r="W23" s="58"/>
      <c r="X23" s="69"/>
      <c r="Y23" s="62"/>
      <c r="Z23" s="64"/>
      <c r="AA23" s="65"/>
      <c r="AE23" s="67"/>
    </row>
    <row r="24" spans="1:31" s="2" customFormat="1" x14ac:dyDescent="0.2">
      <c r="A24" s="98"/>
      <c r="B24" s="99"/>
      <c r="C24" s="100"/>
      <c r="D24" s="100"/>
      <c r="E24" s="100"/>
      <c r="F24" s="101"/>
      <c r="G24" s="101"/>
      <c r="H24" s="101"/>
      <c r="I24" s="101"/>
      <c r="J24" s="101"/>
      <c r="K24" s="101"/>
      <c r="L24" s="101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3"/>
      <c r="Z24" s="104"/>
      <c r="AA24" s="105"/>
    </row>
    <row r="25" spans="1:31" s="2" customFormat="1" x14ac:dyDescent="0.2">
      <c r="A25" s="24"/>
      <c r="B25" s="29"/>
      <c r="C25" s="30"/>
      <c r="D25" s="30"/>
      <c r="E25" s="30"/>
      <c r="F25" s="6"/>
      <c r="G25" s="6"/>
      <c r="H25" s="6"/>
      <c r="I25" s="6"/>
      <c r="J25" s="6"/>
      <c r="K25" s="6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26"/>
      <c r="Z25" s="26"/>
      <c r="AA25" s="106"/>
    </row>
    <row r="26" spans="1:31" s="2" customFormat="1" x14ac:dyDescent="0.2">
      <c r="A26" s="31"/>
      <c r="B26" s="32"/>
      <c r="C26" s="77"/>
      <c r="D26" s="77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 t="s">
        <v>79</v>
      </c>
      <c r="R26" s="33"/>
      <c r="S26" s="97">
        <f>AA22</f>
        <v>402</v>
      </c>
      <c r="T26" s="33"/>
      <c r="U26" s="33" t="s">
        <v>21</v>
      </c>
      <c r="V26" s="145">
        <f>B15</f>
        <v>5050</v>
      </c>
      <c r="W26" s="33" t="s">
        <v>14</v>
      </c>
      <c r="X26" s="33"/>
      <c r="Y26" s="33"/>
      <c r="Z26" s="33"/>
      <c r="AA26" s="34">
        <f>AA22*1.2</f>
        <v>482.4</v>
      </c>
    </row>
    <row r="27" spans="1:31" s="2" customFormat="1" x14ac:dyDescent="0.2">
      <c r="A27" s="31"/>
      <c r="B27" s="32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97"/>
      <c r="T27" s="33"/>
      <c r="U27" s="33"/>
      <c r="V27" s="33"/>
      <c r="W27" s="33"/>
      <c r="X27" s="33"/>
      <c r="Y27" s="33"/>
      <c r="Z27" s="33"/>
      <c r="AA27" s="34"/>
    </row>
    <row r="28" spans="1:31" s="2" customFormat="1" ht="13.5" thickBot="1" x14ac:dyDescent="0.25">
      <c r="A28" s="35"/>
      <c r="B28" s="36"/>
      <c r="C28" s="37"/>
      <c r="D28" s="37"/>
      <c r="E28" s="37"/>
      <c r="F28" s="38"/>
      <c r="G28" s="38"/>
      <c r="H28" s="38"/>
      <c r="I28" s="38"/>
      <c r="J28" s="38"/>
      <c r="K28" s="38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40"/>
      <c r="Z28" s="40"/>
      <c r="AA28" s="107"/>
    </row>
  </sheetData>
  <mergeCells count="4">
    <mergeCell ref="J4:N4"/>
    <mergeCell ref="O4:X4"/>
    <mergeCell ref="C5:E5"/>
    <mergeCell ref="C6:E6"/>
  </mergeCells>
  <phoneticPr fontId="30" type="noConversion"/>
  <pageMargins left="0.7" right="0.7" top="0.75" bottom="0.75" header="0.3" footer="0.3"/>
  <pageSetup paperSize="9" scale="5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CK42"/>
  <sheetViews>
    <sheetView topLeftCell="A4" zoomScale="85" zoomScaleNormal="85" workbookViewId="0">
      <selection activeCell="A19" sqref="A19:XFD19"/>
    </sheetView>
  </sheetViews>
  <sheetFormatPr baseColWidth="10" defaultRowHeight="12.75" x14ac:dyDescent="0.2"/>
  <cols>
    <col min="1" max="1" width="15.5703125" style="7" bestFit="1" customWidth="1"/>
    <col min="2" max="2" width="10.5703125" style="41" bestFit="1" customWidth="1"/>
    <col min="3" max="3" width="7.7109375" style="7" customWidth="1"/>
    <col min="4" max="4" width="7.85546875" style="7" customWidth="1"/>
    <col min="5" max="5" width="9.7109375" style="7" customWidth="1"/>
    <col min="6" max="6" width="12.85546875" style="7" hidden="1" customWidth="1"/>
    <col min="7" max="9" width="17.28515625" style="7" hidden="1" customWidth="1"/>
    <col min="10" max="10" width="9.28515625" style="5" customWidth="1"/>
    <col min="11" max="11" width="12.85546875" style="7" customWidth="1"/>
    <col min="12" max="12" width="9.28515625" style="5" customWidth="1"/>
    <col min="13" max="13" width="9.140625" style="5" customWidth="1"/>
    <col min="14" max="14" width="10.5703125" style="5" customWidth="1"/>
    <col min="15" max="15" width="10.42578125" style="5" customWidth="1"/>
    <col min="16" max="17" width="8.42578125" style="5" bestFit="1" customWidth="1"/>
    <col min="18" max="18" width="6" style="5" bestFit="1" customWidth="1"/>
    <col min="19" max="19" width="8.5703125" style="5" customWidth="1"/>
    <col min="20" max="20" width="10.140625" style="5" hidden="1" customWidth="1"/>
    <col min="21" max="23" width="9" style="5" bestFit="1" customWidth="1"/>
    <col min="24" max="24" width="27.7109375" style="5" bestFit="1" customWidth="1"/>
    <col min="25" max="25" width="9" style="7" customWidth="1"/>
    <col min="26" max="26" width="10.140625" style="7" bestFit="1" customWidth="1"/>
    <col min="27" max="27" width="9.42578125" style="42" bestFit="1" customWidth="1"/>
    <col min="28" max="28" width="5.28515625" style="7" customWidth="1"/>
    <col min="29" max="29" width="6.140625" style="7" hidden="1" customWidth="1"/>
    <col min="30" max="30" width="5.5703125" style="7" hidden="1" customWidth="1"/>
    <col min="31" max="32" width="8" style="7" hidden="1" customWidth="1"/>
    <col min="33" max="33" width="12.42578125" style="7" bestFit="1" customWidth="1"/>
    <col min="34" max="16384" width="11.42578125" style="7"/>
  </cols>
  <sheetData>
    <row r="1" spans="1:89" ht="18" customHeight="1" x14ac:dyDescent="0.2">
      <c r="A1" s="43" t="s">
        <v>74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72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</row>
    <row r="2" spans="1:89" ht="18" customHeight="1" thickBot="1" x14ac:dyDescent="0.25">
      <c r="A2" s="140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2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</row>
    <row r="3" spans="1:89" ht="24" thickBot="1" x14ac:dyDescent="0.25">
      <c r="A3" s="131" t="s">
        <v>32</v>
      </c>
      <c r="B3" s="132">
        <v>1.5099999999999999E-5</v>
      </c>
      <c r="C3" s="133" t="s">
        <v>31</v>
      </c>
      <c r="D3" s="44"/>
      <c r="E3" s="44"/>
      <c r="F3" s="44"/>
      <c r="G3" s="44"/>
      <c r="H3" s="44"/>
      <c r="I3" s="44"/>
      <c r="J3" s="134"/>
      <c r="K3" s="135" t="s">
        <v>33</v>
      </c>
      <c r="L3" s="136">
        <f>0.15/1000</f>
        <v>1.4999999999999999E-4</v>
      </c>
      <c r="M3" s="137" t="s">
        <v>17</v>
      </c>
      <c r="N3" s="138" t="s">
        <v>34</v>
      </c>
      <c r="O3" s="136">
        <v>1.204</v>
      </c>
      <c r="P3" s="139" t="s">
        <v>35</v>
      </c>
      <c r="Q3" s="52"/>
      <c r="R3" s="53"/>
      <c r="S3" s="53"/>
      <c r="T3" s="53"/>
      <c r="U3" s="53"/>
      <c r="V3" s="53"/>
      <c r="W3" s="53"/>
      <c r="X3" s="53"/>
      <c r="Y3" s="108"/>
      <c r="Z3" s="108"/>
      <c r="AA3" s="10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</row>
    <row r="4" spans="1:89" ht="16.5" thickBot="1" x14ac:dyDescent="0.25">
      <c r="A4" s="126"/>
      <c r="B4" s="127"/>
      <c r="C4" s="128"/>
      <c r="D4" s="128"/>
      <c r="E4" s="128"/>
      <c r="F4" s="129"/>
      <c r="G4" s="128"/>
      <c r="H4" s="128"/>
      <c r="I4" s="128"/>
      <c r="J4" s="152" t="s">
        <v>82</v>
      </c>
      <c r="K4" s="153"/>
      <c r="L4" s="153"/>
      <c r="M4" s="153"/>
      <c r="N4" s="154"/>
      <c r="O4" s="153" t="s">
        <v>49</v>
      </c>
      <c r="P4" s="153"/>
      <c r="Q4" s="153"/>
      <c r="R4" s="153"/>
      <c r="S4" s="153"/>
      <c r="T4" s="153"/>
      <c r="U4" s="153"/>
      <c r="V4" s="153"/>
      <c r="W4" s="153"/>
      <c r="X4" s="155"/>
      <c r="Y4" s="130"/>
      <c r="Z4" s="109"/>
      <c r="AA4" s="110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</row>
    <row r="5" spans="1:89" s="2" customFormat="1" x14ac:dyDescent="0.2">
      <c r="A5" s="71" t="s">
        <v>1</v>
      </c>
      <c r="B5" s="19" t="s">
        <v>1</v>
      </c>
      <c r="C5" s="156"/>
      <c r="D5" s="157"/>
      <c r="E5" s="158"/>
      <c r="F5" s="10"/>
      <c r="G5" s="10"/>
      <c r="H5" s="10"/>
      <c r="I5" s="10"/>
      <c r="J5" s="10" t="s">
        <v>2</v>
      </c>
      <c r="K5" s="10"/>
      <c r="L5" s="10" t="s">
        <v>1</v>
      </c>
      <c r="M5" s="15" t="s">
        <v>1</v>
      </c>
      <c r="N5" s="8" t="s">
        <v>3</v>
      </c>
      <c r="O5" s="10" t="s">
        <v>38</v>
      </c>
      <c r="P5" s="10" t="s">
        <v>38</v>
      </c>
      <c r="Q5" s="10" t="s">
        <v>38</v>
      </c>
      <c r="R5" s="10" t="s">
        <v>38</v>
      </c>
      <c r="S5" s="10" t="s">
        <v>42</v>
      </c>
      <c r="T5" s="10" t="s">
        <v>43</v>
      </c>
      <c r="U5" s="10" t="s">
        <v>45</v>
      </c>
      <c r="V5" s="10" t="s">
        <v>45</v>
      </c>
      <c r="W5" s="10"/>
      <c r="X5" s="10" t="s">
        <v>2</v>
      </c>
      <c r="Y5" s="15" t="s">
        <v>2</v>
      </c>
      <c r="Z5" s="46" t="s">
        <v>2</v>
      </c>
      <c r="AA5" s="73" t="s">
        <v>0</v>
      </c>
    </row>
    <row r="6" spans="1:89" s="2" customFormat="1" ht="18" x14ac:dyDescent="0.2">
      <c r="A6" s="71" t="s">
        <v>5</v>
      </c>
      <c r="B6" s="16" t="s">
        <v>6</v>
      </c>
      <c r="C6" s="159" t="s">
        <v>20</v>
      </c>
      <c r="D6" s="160"/>
      <c r="E6" s="161"/>
      <c r="F6" s="10" t="s">
        <v>29</v>
      </c>
      <c r="G6" s="10" t="s">
        <v>36</v>
      </c>
      <c r="H6" s="10" t="s">
        <v>36</v>
      </c>
      <c r="I6" s="10" t="s">
        <v>30</v>
      </c>
      <c r="J6" s="10" t="s">
        <v>7</v>
      </c>
      <c r="K6" s="10" t="s">
        <v>8</v>
      </c>
      <c r="L6" s="10" t="s">
        <v>9</v>
      </c>
      <c r="M6" s="15" t="s">
        <v>10</v>
      </c>
      <c r="N6" s="8" t="s">
        <v>11</v>
      </c>
      <c r="O6" s="10" t="s">
        <v>50</v>
      </c>
      <c r="P6" s="10" t="s">
        <v>50</v>
      </c>
      <c r="Q6" s="10" t="s">
        <v>39</v>
      </c>
      <c r="R6" s="10" t="s">
        <v>39</v>
      </c>
      <c r="S6" s="10"/>
      <c r="T6" s="10" t="s">
        <v>44</v>
      </c>
      <c r="U6" s="10" t="s">
        <v>47</v>
      </c>
      <c r="V6" s="10" t="s">
        <v>48</v>
      </c>
      <c r="W6" s="10" t="s">
        <v>56</v>
      </c>
      <c r="X6" s="10" t="s">
        <v>12</v>
      </c>
      <c r="Y6" s="13" t="s">
        <v>53</v>
      </c>
      <c r="Z6" s="12" t="s">
        <v>52</v>
      </c>
      <c r="AA6" s="74" t="s">
        <v>4</v>
      </c>
    </row>
    <row r="7" spans="1:89" s="2" customFormat="1" x14ac:dyDescent="0.2">
      <c r="A7" s="71" t="s">
        <v>1</v>
      </c>
      <c r="B7" s="16"/>
      <c r="C7" s="22" t="s">
        <v>15</v>
      </c>
      <c r="D7" s="20" t="s">
        <v>16</v>
      </c>
      <c r="E7" s="23" t="s">
        <v>37</v>
      </c>
      <c r="F7" s="10"/>
      <c r="G7" s="10"/>
      <c r="H7" s="10"/>
      <c r="I7" s="10"/>
      <c r="J7" s="10"/>
      <c r="K7" s="10"/>
      <c r="L7" s="10"/>
      <c r="M7" s="15"/>
      <c r="N7" s="8" t="s">
        <v>21</v>
      </c>
      <c r="O7" s="11" t="s">
        <v>41</v>
      </c>
      <c r="P7" s="11" t="s">
        <v>40</v>
      </c>
      <c r="Q7" s="11" t="s">
        <v>41</v>
      </c>
      <c r="R7" s="11" t="s">
        <v>40</v>
      </c>
      <c r="S7" s="11"/>
      <c r="T7" s="11"/>
      <c r="U7" s="11"/>
      <c r="V7" s="10"/>
      <c r="W7" s="10"/>
      <c r="X7" s="10" t="s">
        <v>2</v>
      </c>
      <c r="Y7" s="15" t="s">
        <v>2</v>
      </c>
      <c r="Z7" s="21"/>
      <c r="AA7" s="74" t="s">
        <v>13</v>
      </c>
    </row>
    <row r="8" spans="1:89" s="2" customFormat="1" ht="18" x14ac:dyDescent="0.2">
      <c r="A8" s="71" t="s">
        <v>1</v>
      </c>
      <c r="B8" s="19" t="s">
        <v>1</v>
      </c>
      <c r="C8" s="17"/>
      <c r="D8" s="10"/>
      <c r="E8" s="14"/>
      <c r="F8" s="10"/>
      <c r="G8" s="10"/>
      <c r="H8" s="10"/>
      <c r="I8" s="10"/>
      <c r="J8" s="10" t="s">
        <v>2</v>
      </c>
      <c r="K8" s="10"/>
      <c r="L8" s="10"/>
      <c r="M8" s="15" t="s">
        <v>1</v>
      </c>
      <c r="N8" s="12" t="s">
        <v>51</v>
      </c>
      <c r="O8" s="12" t="s">
        <v>46</v>
      </c>
      <c r="P8" s="12" t="s">
        <v>46</v>
      </c>
      <c r="Q8" s="12" t="s">
        <v>46</v>
      </c>
      <c r="R8" s="12" t="s">
        <v>46</v>
      </c>
      <c r="S8" s="12" t="s">
        <v>46</v>
      </c>
      <c r="T8" s="12" t="s">
        <v>46</v>
      </c>
      <c r="U8" s="12" t="s">
        <v>46</v>
      </c>
      <c r="V8" s="12" t="s">
        <v>46</v>
      </c>
      <c r="W8" s="12"/>
      <c r="X8" s="10" t="s">
        <v>2</v>
      </c>
      <c r="Y8" s="15" t="s">
        <v>2</v>
      </c>
      <c r="Z8" s="21"/>
      <c r="AA8" s="74"/>
    </row>
    <row r="9" spans="1:89" s="2" customFormat="1" ht="18" x14ac:dyDescent="0.2">
      <c r="A9" s="71"/>
      <c r="B9" s="19"/>
      <c r="C9" s="17"/>
      <c r="D9" s="10"/>
      <c r="E9" s="14"/>
      <c r="F9" s="10"/>
      <c r="G9" s="10"/>
      <c r="H9" s="10"/>
      <c r="I9" s="10"/>
      <c r="J9" s="10"/>
      <c r="K9" s="10"/>
      <c r="L9" s="10"/>
      <c r="M9" s="15"/>
      <c r="N9" s="8"/>
      <c r="O9" s="12">
        <v>0.8</v>
      </c>
      <c r="P9" s="12">
        <v>0.5</v>
      </c>
      <c r="Q9" s="12">
        <v>0.5</v>
      </c>
      <c r="R9" s="12">
        <v>0.25</v>
      </c>
      <c r="S9" s="12">
        <v>0.25</v>
      </c>
      <c r="T9" s="12">
        <v>1.5</v>
      </c>
      <c r="U9" s="12">
        <v>0.2</v>
      </c>
      <c r="V9" s="12">
        <v>1.7</v>
      </c>
      <c r="W9" s="12"/>
      <c r="X9" s="10"/>
      <c r="Y9" s="15"/>
      <c r="Z9" s="21"/>
      <c r="AA9" s="74"/>
    </row>
    <row r="10" spans="1:89" s="2" customFormat="1" x14ac:dyDescent="0.2">
      <c r="A10" s="75"/>
      <c r="B10" s="47" t="s">
        <v>14</v>
      </c>
      <c r="C10" s="70" t="s">
        <v>19</v>
      </c>
      <c r="D10" s="25" t="s">
        <v>19</v>
      </c>
      <c r="E10" s="28" t="s">
        <v>19</v>
      </c>
      <c r="F10" s="25"/>
      <c r="G10" s="25"/>
      <c r="H10" s="25"/>
      <c r="I10" s="25"/>
      <c r="J10" s="25" t="s">
        <v>17</v>
      </c>
      <c r="K10" s="25" t="s">
        <v>22</v>
      </c>
      <c r="L10" s="25" t="s">
        <v>21</v>
      </c>
      <c r="M10" s="48" t="s">
        <v>18</v>
      </c>
      <c r="N10" s="49"/>
      <c r="O10" s="25" t="s">
        <v>54</v>
      </c>
      <c r="P10" s="25" t="s">
        <v>54</v>
      </c>
      <c r="Q10" s="25" t="s">
        <v>54</v>
      </c>
      <c r="R10" s="25" t="s">
        <v>54</v>
      </c>
      <c r="S10" s="25" t="s">
        <v>54</v>
      </c>
      <c r="T10" s="25" t="s">
        <v>54</v>
      </c>
      <c r="U10" s="25" t="s">
        <v>54</v>
      </c>
      <c r="V10" s="25" t="s">
        <v>54</v>
      </c>
      <c r="W10" s="25"/>
      <c r="X10" s="45"/>
      <c r="Y10" s="50"/>
      <c r="Z10" s="51" t="s">
        <v>21</v>
      </c>
      <c r="AA10" s="76" t="s">
        <v>21</v>
      </c>
    </row>
    <row r="11" spans="1:89" s="9" customFormat="1" x14ac:dyDescent="0.2">
      <c r="A11" s="86" t="s">
        <v>57</v>
      </c>
      <c r="B11" s="87"/>
      <c r="C11" s="88"/>
      <c r="D11" s="89"/>
      <c r="E11" s="90"/>
      <c r="F11" s="89"/>
      <c r="G11" s="89"/>
      <c r="H11" s="89"/>
      <c r="I11" s="89"/>
      <c r="J11" s="89"/>
      <c r="K11" s="89"/>
      <c r="L11" s="91"/>
      <c r="M11" s="89"/>
      <c r="N11" s="92"/>
      <c r="O11" s="89"/>
      <c r="P11" s="89"/>
      <c r="Q11" s="89"/>
      <c r="R11" s="89"/>
      <c r="S11" s="89"/>
      <c r="T11" s="89"/>
      <c r="U11" s="89"/>
      <c r="V11" s="89"/>
      <c r="W11" s="89"/>
      <c r="X11" s="90"/>
      <c r="Y11" s="92"/>
      <c r="Z11" s="93"/>
      <c r="AA11" s="94"/>
    </row>
    <row r="12" spans="1:89" s="9" customFormat="1" x14ac:dyDescent="0.2">
      <c r="A12" s="55" t="s">
        <v>64</v>
      </c>
      <c r="B12" s="56">
        <v>275</v>
      </c>
      <c r="C12" s="57"/>
      <c r="D12" s="58"/>
      <c r="E12" s="58">
        <f>IF(C12=0,dia(B12)/1000,POWER(3.24228*(((C12/1000)*(D12/1000))*((C12/1000)*(D12/1000))*((C12/1000)*(D12/1000)))/(((C12/1000)+(D12/1000))),0.2))*1000</f>
        <v>200</v>
      </c>
      <c r="F12" s="58">
        <f t="shared" ref="F12:F16" si="0">M12*(E12/1000)/$B$3</f>
        <v>32205.773597660431</v>
      </c>
      <c r="G12" s="59">
        <f t="shared" ref="G12:G16" si="1">IF(F12&lt;2000,64/F12,0.11*POWER((($L$3/(E12/1000))+(68/F12)),0.25))</f>
        <v>2.5441234908661705E-2</v>
      </c>
      <c r="H12" s="59">
        <f>IF(G12&lt;0.018,G12*0.85+0.0028,G12)</f>
        <v>2.5441234908661705E-2</v>
      </c>
      <c r="I12" s="59">
        <f t="shared" ref="I12:I16" si="2">IF(F12&lt;2000,G12,H12)</f>
        <v>2.5441234908661705E-2</v>
      </c>
      <c r="J12" s="58">
        <v>1</v>
      </c>
      <c r="K12" s="60">
        <f t="shared" ref="K12:K16" si="3">I12/(E12/1000)*$O$3*M12*M12/2</f>
        <v>0.45275792199396064</v>
      </c>
      <c r="L12" s="61">
        <f t="shared" ref="L12:L16" si="4">J12*K12</f>
        <v>0.45275792199396064</v>
      </c>
      <c r="M12" s="60">
        <f t="shared" ref="M12:M16" si="5">IF(C12=0,B12/3600/3.14159/(E12/1000)/(E12/1000)*4,(B12/3600)/(C12/1000)/(D12/1000))</f>
        <v>2.4315359066233624</v>
      </c>
      <c r="N12" s="62">
        <f t="shared" ref="N12:N16" si="6">$O$3*M12*M12/2</f>
        <v>3.5592448528496154</v>
      </c>
      <c r="O12" s="58"/>
      <c r="P12" s="58"/>
      <c r="Q12" s="58"/>
      <c r="R12" s="58"/>
      <c r="S12" s="58"/>
      <c r="T12" s="58"/>
      <c r="U12" s="58"/>
      <c r="V12" s="58"/>
      <c r="W12" s="58">
        <v>20</v>
      </c>
      <c r="X12" s="69" t="s">
        <v>61</v>
      </c>
      <c r="Y12" s="4">
        <f t="shared" ref="Y12:Y15" si="7">Q12*$Q$9+R12*$R$9+S12*$S$9+T12*$T$9+U12*$U$9+V12*$V$9+O12*$O$9+P12*$P$9</f>
        <v>0</v>
      </c>
      <c r="Z12" s="64">
        <f>N12*Y12+W12</f>
        <v>20</v>
      </c>
      <c r="AA12" s="54">
        <f>ROUND(L12+Z12,0)</f>
        <v>20</v>
      </c>
      <c r="AE12" s="27"/>
    </row>
    <row r="13" spans="1:89" s="9" customFormat="1" x14ac:dyDescent="0.2">
      <c r="A13" s="55" t="s">
        <v>65</v>
      </c>
      <c r="B13" s="56">
        <f>275*2</f>
        <v>550</v>
      </c>
      <c r="C13" s="57"/>
      <c r="D13" s="58"/>
      <c r="E13" s="58">
        <f>IF(C13=0,dia(B13)/1000,POWER(3.24228*(((C13/1000)*(D13/1000))*((C13/1000)*(D13/1000))*((C13/1000)*(D13/1000)))/(((C13/1000)+(D13/1000))),0.2))*1000</f>
        <v>315</v>
      </c>
      <c r="F13" s="58">
        <f t="shared" si="0"/>
        <v>40896.220441473568</v>
      </c>
      <c r="G13" s="59">
        <f t="shared" si="1"/>
        <v>2.3656044222612346E-2</v>
      </c>
      <c r="H13" s="59">
        <f t="shared" ref="H13:H16" si="8">IF(G13&lt;0.018,G13*0.85+0.0028,G13)</f>
        <v>2.3656044222612346E-2</v>
      </c>
      <c r="I13" s="59">
        <f t="shared" si="2"/>
        <v>2.3656044222612346E-2</v>
      </c>
      <c r="J13" s="58">
        <v>1</v>
      </c>
      <c r="K13" s="60">
        <f t="shared" si="3"/>
        <v>0.17375095250887124</v>
      </c>
      <c r="L13" s="61">
        <f t="shared" si="4"/>
        <v>0.17375095250887124</v>
      </c>
      <c r="M13" s="60">
        <f t="shared" si="5"/>
        <v>1.9604219957658757</v>
      </c>
      <c r="N13" s="62">
        <f t="shared" si="6"/>
        <v>2.3136391496925608</v>
      </c>
      <c r="O13" s="58"/>
      <c r="P13" s="58"/>
      <c r="Q13" s="58"/>
      <c r="R13" s="58"/>
      <c r="S13" s="58"/>
      <c r="T13" s="58"/>
      <c r="U13" s="58">
        <v>1</v>
      </c>
      <c r="V13" s="58"/>
      <c r="W13" s="58"/>
      <c r="X13" s="111"/>
      <c r="Y13" s="4">
        <f t="shared" si="7"/>
        <v>0.2</v>
      </c>
      <c r="Z13" s="64">
        <f t="shared" ref="Z13:Z16" si="9">N13*Y13+W13</f>
        <v>0.46272782993851219</v>
      </c>
      <c r="AA13" s="54">
        <f t="shared" ref="AA13:AA16" si="10">ROUND(L13+Z13,0)</f>
        <v>1</v>
      </c>
      <c r="AE13" s="27"/>
      <c r="AF13" s="9" t="s">
        <v>23</v>
      </c>
    </row>
    <row r="14" spans="1:89" s="9" customFormat="1" x14ac:dyDescent="0.2">
      <c r="A14" s="55" t="s">
        <v>66</v>
      </c>
      <c r="B14" s="56">
        <f>B13+275</f>
        <v>825</v>
      </c>
      <c r="C14" s="57"/>
      <c r="D14" s="58"/>
      <c r="E14" s="58">
        <f>IF(C14=0,dia(B14)/1000,POWER(3.24228*(((C14/1000)*(D14/1000))*((C14/1000)*(D14/1000))*((C14/1000)*(D14/1000)))/(((C14/1000)+(D14/1000))),0.2))*1000</f>
        <v>315</v>
      </c>
      <c r="F14" s="58">
        <f t="shared" si="0"/>
        <v>61344.330662210334</v>
      </c>
      <c r="G14" s="59">
        <f t="shared" si="1"/>
        <v>2.1947172863813313E-2</v>
      </c>
      <c r="H14" s="59">
        <f t="shared" si="8"/>
        <v>2.1947172863813313E-2</v>
      </c>
      <c r="I14" s="59">
        <f t="shared" si="2"/>
        <v>2.1947172863813313E-2</v>
      </c>
      <c r="J14" s="58">
        <v>1</v>
      </c>
      <c r="K14" s="60">
        <f t="shared" si="3"/>
        <v>0.36269884544849046</v>
      </c>
      <c r="L14" s="61">
        <f t="shared" si="4"/>
        <v>0.36269884544849046</v>
      </c>
      <c r="M14" s="60">
        <f t="shared" si="5"/>
        <v>2.9406329936488129</v>
      </c>
      <c r="N14" s="62">
        <f t="shared" si="6"/>
        <v>5.2056880868082596</v>
      </c>
      <c r="O14" s="58"/>
      <c r="P14" s="58"/>
      <c r="Q14" s="58"/>
      <c r="R14" s="58"/>
      <c r="S14" s="58"/>
      <c r="T14" s="58"/>
      <c r="U14" s="58">
        <v>1</v>
      </c>
      <c r="V14" s="58"/>
      <c r="W14" s="58"/>
      <c r="X14" s="63"/>
      <c r="Y14" s="4">
        <f t="shared" si="7"/>
        <v>0.2</v>
      </c>
      <c r="Z14" s="64">
        <f t="shared" si="9"/>
        <v>1.041137617361652</v>
      </c>
      <c r="AA14" s="54">
        <f t="shared" si="10"/>
        <v>1</v>
      </c>
      <c r="AE14" s="27"/>
      <c r="AF14" s="9" t="s">
        <v>24</v>
      </c>
    </row>
    <row r="15" spans="1:89" s="66" customFormat="1" x14ac:dyDescent="0.2">
      <c r="A15" s="55" t="s">
        <v>67</v>
      </c>
      <c r="B15" s="56">
        <f>B14+275</f>
        <v>1100</v>
      </c>
      <c r="C15" s="57"/>
      <c r="D15" s="58"/>
      <c r="E15" s="58">
        <f>IF(C15=0,dia(B15)/1000,POWER(3.24228*(((C15/1000)*(D15/1000))*((C15/1000)*(D15/1000))*((C15/1000)*(D15/1000)))/(((C15/1000)+(D15/1000))),0.2))*1000</f>
        <v>315</v>
      </c>
      <c r="F15" s="58">
        <f t="shared" si="0"/>
        <v>81792.440882947136</v>
      </c>
      <c r="G15" s="59">
        <f t="shared" si="1"/>
        <v>2.0917431385181959E-2</v>
      </c>
      <c r="H15" s="59">
        <f t="shared" si="8"/>
        <v>2.0917431385181959E-2</v>
      </c>
      <c r="I15" s="59">
        <f t="shared" si="2"/>
        <v>2.0917431385181959E-2</v>
      </c>
      <c r="J15" s="58">
        <v>4</v>
      </c>
      <c r="K15" s="60">
        <f t="shared" si="3"/>
        <v>0.61454461160336349</v>
      </c>
      <c r="L15" s="61">
        <f t="shared" si="4"/>
        <v>2.458178446413454</v>
      </c>
      <c r="M15" s="60">
        <f t="shared" si="5"/>
        <v>3.9208439915317514</v>
      </c>
      <c r="N15" s="62">
        <f t="shared" si="6"/>
        <v>9.2545565987702432</v>
      </c>
      <c r="O15" s="58"/>
      <c r="P15" s="58"/>
      <c r="Q15" s="58">
        <v>1</v>
      </c>
      <c r="R15" s="58"/>
      <c r="S15" s="58"/>
      <c r="T15" s="58"/>
      <c r="U15" s="58">
        <v>1</v>
      </c>
      <c r="V15" s="58"/>
      <c r="W15" s="58"/>
      <c r="X15" s="63"/>
      <c r="Y15" s="62">
        <f t="shared" si="7"/>
        <v>0.7</v>
      </c>
      <c r="Z15" s="64">
        <f t="shared" si="9"/>
        <v>6.4781896191391697</v>
      </c>
      <c r="AA15" s="65">
        <f t="shared" si="10"/>
        <v>9</v>
      </c>
      <c r="AB15" s="9"/>
      <c r="AE15" s="67"/>
      <c r="AF15" s="66" t="s">
        <v>26</v>
      </c>
    </row>
    <row r="16" spans="1:89" s="66" customFormat="1" x14ac:dyDescent="0.2">
      <c r="A16" s="55" t="s">
        <v>68</v>
      </c>
      <c r="B16" s="56">
        <v>1400</v>
      </c>
      <c r="C16" s="57"/>
      <c r="D16" s="58"/>
      <c r="E16" s="58">
        <v>315</v>
      </c>
      <c r="F16" s="58">
        <f t="shared" si="0"/>
        <v>104099.47021465999</v>
      </c>
      <c r="G16" s="59">
        <f t="shared" si="1"/>
        <v>2.0165350321246681E-2</v>
      </c>
      <c r="H16" s="59">
        <f t="shared" si="8"/>
        <v>2.0165350321246681E-2</v>
      </c>
      <c r="I16" s="59">
        <f t="shared" si="2"/>
        <v>2.0165350321246681E-2</v>
      </c>
      <c r="J16" s="58">
        <v>8</v>
      </c>
      <c r="K16" s="60">
        <f t="shared" si="3"/>
        <v>0.95966915054108315</v>
      </c>
      <c r="L16" s="61">
        <f t="shared" si="4"/>
        <v>7.6773532043286652</v>
      </c>
      <c r="M16" s="60">
        <f t="shared" si="5"/>
        <v>4.9901650801313195</v>
      </c>
      <c r="N16" s="62">
        <f t="shared" si="6"/>
        <v>14.990852011231135</v>
      </c>
      <c r="O16" s="58"/>
      <c r="P16" s="58"/>
      <c r="Q16" s="58">
        <v>4</v>
      </c>
      <c r="R16" s="58"/>
      <c r="S16" s="58"/>
      <c r="T16" s="58"/>
      <c r="U16" s="58"/>
      <c r="V16" s="58"/>
      <c r="W16" s="58">
        <v>60</v>
      </c>
      <c r="X16" s="63" t="s">
        <v>73</v>
      </c>
      <c r="Y16" s="62">
        <f>Q16*$Q$9+R16*$R$9+S16*$S$9+T16*$T$9+U16*$U$9+V16*$V$9+O16*$O$9+P16*$P$9</f>
        <v>2</v>
      </c>
      <c r="Z16" s="64">
        <f t="shared" si="9"/>
        <v>89.981704022462267</v>
      </c>
      <c r="AA16" s="65">
        <f t="shared" si="10"/>
        <v>98</v>
      </c>
      <c r="AB16" s="9"/>
      <c r="AE16" s="67"/>
      <c r="AF16" s="66" t="s">
        <v>25</v>
      </c>
    </row>
    <row r="17" spans="1:34" s="66" customFormat="1" x14ac:dyDescent="0.2">
      <c r="A17" s="86" t="s">
        <v>62</v>
      </c>
      <c r="B17" s="87"/>
      <c r="C17" s="87"/>
      <c r="D17" s="88"/>
      <c r="E17" s="89"/>
      <c r="F17" s="90"/>
      <c r="G17" s="89"/>
      <c r="H17" s="89"/>
      <c r="I17" s="89"/>
      <c r="J17" s="89"/>
      <c r="K17" s="89"/>
      <c r="L17" s="89"/>
      <c r="M17" s="91"/>
      <c r="N17" s="89"/>
      <c r="O17" s="92"/>
      <c r="P17" s="89"/>
      <c r="Q17" s="89"/>
      <c r="R17" s="89"/>
      <c r="S17" s="89"/>
      <c r="T17" s="89"/>
      <c r="U17" s="89"/>
      <c r="V17" s="89"/>
      <c r="W17" s="89"/>
      <c r="X17" s="89"/>
      <c r="Y17" s="90"/>
      <c r="Z17" s="92"/>
      <c r="AA17" s="112"/>
      <c r="AB17" s="9"/>
      <c r="AE17" s="67"/>
      <c r="AF17" s="66" t="s">
        <v>27</v>
      </c>
      <c r="AG17" s="66" t="s">
        <v>28</v>
      </c>
      <c r="AH17" s="66" t="s">
        <v>55</v>
      </c>
    </row>
    <row r="18" spans="1:34" s="66" customFormat="1" x14ac:dyDescent="0.2">
      <c r="A18" s="55" t="s">
        <v>69</v>
      </c>
      <c r="B18" s="56">
        <v>1400</v>
      </c>
      <c r="C18" s="57"/>
      <c r="D18" s="58"/>
      <c r="E18" s="58">
        <v>315</v>
      </c>
      <c r="F18" s="58">
        <f t="shared" ref="F18:F19" si="11">M18*(E18/1000)/$B$3</f>
        <v>104099.47021465999</v>
      </c>
      <c r="G18" s="59">
        <f t="shared" ref="G18:G19" si="12">IF(F18&lt;2000,64/F18,0.11*POWER((($L$3/(E18/1000))+(68/F18)),0.25))</f>
        <v>2.0165350321246681E-2</v>
      </c>
      <c r="H18" s="59">
        <f t="shared" ref="H18:H19" si="13">IF(G18&lt;0.018,G18*0.85+0.0028,G18)</f>
        <v>2.0165350321246681E-2</v>
      </c>
      <c r="I18" s="59">
        <f t="shared" ref="I18:I19" si="14">IF(F18&lt;2000,G18,H18)</f>
        <v>2.0165350321246681E-2</v>
      </c>
      <c r="J18" s="58">
        <v>3</v>
      </c>
      <c r="K18" s="60">
        <f t="shared" ref="K18:K19" si="15">I18/(E18/1000)*$O$3*M18*M18/2</f>
        <v>0.95966915054108315</v>
      </c>
      <c r="L18" s="61">
        <f t="shared" ref="L18:L19" si="16">J18*K18</f>
        <v>2.8790074516232496</v>
      </c>
      <c r="M18" s="60">
        <f t="shared" ref="M18:M19" si="17">IF(C18=0,B18/3600/3.14159/(E18/1000)/(E18/1000)*4,(B18/3600)/(C18/1000)/(D18/1000))</f>
        <v>4.9901650801313195</v>
      </c>
      <c r="N18" s="62">
        <f t="shared" ref="N18:N19" si="18">$O$3*M18*M18/2</f>
        <v>14.990852011231135</v>
      </c>
      <c r="O18" s="58"/>
      <c r="P18" s="58"/>
      <c r="Q18" s="58">
        <v>1</v>
      </c>
      <c r="R18" s="58"/>
      <c r="S18" s="58"/>
      <c r="T18" s="58"/>
      <c r="U18" s="58"/>
      <c r="V18" s="58">
        <v>0</v>
      </c>
      <c r="W18" s="58">
        <v>60</v>
      </c>
      <c r="X18" s="63" t="s">
        <v>63</v>
      </c>
      <c r="Y18" s="62">
        <f t="shared" ref="Y18:Y19" si="19">Q18*$Q$9+R18*$R$9+S18*$S$9+T18*$T$9+U18*$U$9+V18*$V$9+O18*$O$9+P18*$P$9</f>
        <v>0.5</v>
      </c>
      <c r="Z18" s="64">
        <f t="shared" ref="Z18:Z19" si="20">N18*Y18+W18</f>
        <v>67.49542600561557</v>
      </c>
      <c r="AA18" s="65">
        <f t="shared" ref="AA18:AA19" si="21">ROUND(L18+Z18,0)</f>
        <v>70</v>
      </c>
      <c r="AB18" s="9"/>
      <c r="AE18" s="67"/>
      <c r="AF18" s="66" t="s">
        <v>25</v>
      </c>
    </row>
    <row r="19" spans="1:34" s="9" customFormat="1" x14ac:dyDescent="0.2">
      <c r="A19" s="55" t="s">
        <v>70</v>
      </c>
      <c r="B19" s="56">
        <f>1400+5050</f>
        <v>6450</v>
      </c>
      <c r="C19" s="57">
        <v>800</v>
      </c>
      <c r="D19" s="58">
        <v>400</v>
      </c>
      <c r="E19" s="58">
        <f>IF(C19=0,dia(B19)/1000,POWER(3.24228*(((C19/1000)*(D19/1000))*((C19/1000)*(D19/1000))*((C19/1000)*(D19/1000)))/(((C19/1000)+(D19/1000))),0.2))*1000</f>
        <v>615.77753567157765</v>
      </c>
      <c r="F19" s="58">
        <f t="shared" si="11"/>
        <v>228325.3486640956</v>
      </c>
      <c r="G19" s="59">
        <f t="shared" si="12"/>
        <v>1.6779355525197402E-2</v>
      </c>
      <c r="H19" s="59">
        <f t="shared" si="13"/>
        <v>1.7062452196417791E-2</v>
      </c>
      <c r="I19" s="59">
        <f t="shared" si="14"/>
        <v>1.7062452196417791E-2</v>
      </c>
      <c r="J19" s="58">
        <v>15</v>
      </c>
      <c r="K19" s="60">
        <f t="shared" si="15"/>
        <v>0.52291195234089882</v>
      </c>
      <c r="L19" s="61">
        <f t="shared" si="16"/>
        <v>7.843679285113482</v>
      </c>
      <c r="M19" s="60">
        <f t="shared" si="17"/>
        <v>5.598958333333333</v>
      </c>
      <c r="N19" s="62">
        <f t="shared" si="18"/>
        <v>18.871697319878468</v>
      </c>
      <c r="O19" s="58">
        <v>5</v>
      </c>
      <c r="P19" s="58"/>
      <c r="Q19" s="58"/>
      <c r="R19" s="58"/>
      <c r="S19" s="58"/>
      <c r="T19" s="58"/>
      <c r="U19" s="58"/>
      <c r="V19" s="58">
        <v>1</v>
      </c>
      <c r="W19" s="58">
        <v>15</v>
      </c>
      <c r="X19" s="63" t="s">
        <v>72</v>
      </c>
      <c r="Y19" s="4">
        <f t="shared" si="19"/>
        <v>5.7</v>
      </c>
      <c r="Z19" s="64">
        <f t="shared" si="20"/>
        <v>122.56867472330727</v>
      </c>
      <c r="AA19" s="54">
        <f t="shared" si="21"/>
        <v>130</v>
      </c>
      <c r="AE19" s="27"/>
      <c r="AF19" s="9" t="s">
        <v>23</v>
      </c>
    </row>
    <row r="20" spans="1:34" s="66" customFormat="1" ht="13.5" thickBot="1" x14ac:dyDescent="0.25">
      <c r="A20" s="55"/>
      <c r="B20" s="56"/>
      <c r="C20" s="57"/>
      <c r="D20" s="58"/>
      <c r="E20" s="58"/>
      <c r="F20" s="58"/>
      <c r="G20" s="59"/>
      <c r="H20" s="59"/>
      <c r="I20" s="59"/>
      <c r="J20" s="58"/>
      <c r="K20" s="60"/>
      <c r="L20" s="61"/>
      <c r="M20" s="60"/>
      <c r="N20" s="62"/>
      <c r="O20" s="58"/>
      <c r="P20" s="58"/>
      <c r="Q20" s="58"/>
      <c r="R20" s="58"/>
      <c r="S20" s="58"/>
      <c r="T20" s="58"/>
      <c r="U20" s="58"/>
      <c r="V20" s="58"/>
      <c r="W20" s="58"/>
      <c r="X20" s="63"/>
      <c r="Y20" s="62"/>
      <c r="Z20" s="64"/>
      <c r="AA20" s="65"/>
      <c r="AB20" s="9"/>
      <c r="AE20" s="67"/>
    </row>
    <row r="21" spans="1:34" s="66" customFormat="1" ht="13.5" thickBot="1" x14ac:dyDescent="0.25">
      <c r="A21" s="55"/>
      <c r="B21" s="56"/>
      <c r="C21" s="57"/>
      <c r="D21" s="58"/>
      <c r="E21" s="58"/>
      <c r="F21" s="68"/>
      <c r="G21" s="59"/>
      <c r="H21" s="59"/>
      <c r="I21" s="59"/>
      <c r="J21" s="68"/>
      <c r="K21" s="60"/>
      <c r="L21" s="61"/>
      <c r="M21" s="60"/>
      <c r="N21" s="62"/>
      <c r="O21" s="58"/>
      <c r="P21" s="58"/>
      <c r="Q21" s="58"/>
      <c r="R21" s="58"/>
      <c r="S21" s="58"/>
      <c r="T21" s="58"/>
      <c r="U21" s="58"/>
      <c r="V21" s="58"/>
      <c r="W21" s="58"/>
      <c r="X21" s="63"/>
      <c r="Y21" s="62"/>
      <c r="Z21" s="95"/>
      <c r="AA21" s="96">
        <f>SUM(AA12:AA20)</f>
        <v>329</v>
      </c>
      <c r="AB21" s="9"/>
      <c r="AE21" s="67"/>
    </row>
    <row r="22" spans="1:34" s="66" customFormat="1" x14ac:dyDescent="0.2">
      <c r="A22" s="55"/>
      <c r="B22" s="56"/>
      <c r="C22" s="57"/>
      <c r="D22" s="58"/>
      <c r="E22" s="58"/>
      <c r="F22" s="58"/>
      <c r="G22" s="59"/>
      <c r="H22" s="59"/>
      <c r="I22" s="59"/>
      <c r="J22" s="58"/>
      <c r="K22" s="60"/>
      <c r="L22" s="61"/>
      <c r="M22" s="60"/>
      <c r="N22" s="62"/>
      <c r="O22" s="58"/>
      <c r="P22" s="58"/>
      <c r="Q22" s="58"/>
      <c r="R22" s="58"/>
      <c r="S22" s="58"/>
      <c r="T22" s="58"/>
      <c r="U22" s="58"/>
      <c r="V22" s="58"/>
      <c r="W22" s="58"/>
      <c r="X22" s="69"/>
      <c r="Y22" s="62"/>
      <c r="Z22" s="64"/>
      <c r="AA22" s="65"/>
      <c r="AE22" s="67"/>
    </row>
    <row r="23" spans="1:34" s="66" customFormat="1" x14ac:dyDescent="0.2">
      <c r="A23" s="86" t="s">
        <v>58</v>
      </c>
      <c r="B23" s="87"/>
      <c r="C23" s="88"/>
      <c r="D23" s="89"/>
      <c r="E23" s="90"/>
      <c r="F23" s="89"/>
      <c r="G23" s="89"/>
      <c r="H23" s="89"/>
      <c r="I23" s="89"/>
      <c r="J23" s="89"/>
      <c r="K23" s="89"/>
      <c r="L23" s="91"/>
      <c r="M23" s="89"/>
      <c r="N23" s="92"/>
      <c r="O23" s="89"/>
      <c r="P23" s="89"/>
      <c r="Q23" s="89"/>
      <c r="R23" s="89"/>
      <c r="S23" s="89"/>
      <c r="T23" s="89"/>
      <c r="U23" s="89"/>
      <c r="V23" s="89"/>
      <c r="W23" s="89"/>
      <c r="X23" s="90"/>
      <c r="Y23" s="92"/>
      <c r="Z23" s="93"/>
      <c r="AA23" s="94"/>
      <c r="AE23" s="67"/>
    </row>
    <row r="24" spans="1:34" s="9" customFormat="1" x14ac:dyDescent="0.2">
      <c r="A24" s="55" t="s">
        <v>64</v>
      </c>
      <c r="B24" s="56">
        <v>220</v>
      </c>
      <c r="C24" s="57"/>
      <c r="D24" s="58"/>
      <c r="E24" s="58">
        <f>IF(C24=0,dia(B24)/1000,POWER(3.24228*(((C24/1000)*(D24/1000))*((C24/1000)*(D24/1000))*((C24/1000)*(D24/1000)))/(((C24/1000)+(D24/1000))),0.2))*1000</f>
        <v>200</v>
      </c>
      <c r="F24" s="58">
        <f t="shared" ref="F24:F25" si="22">M24*(E24/1000)/$B$3</f>
        <v>25764.618878128342</v>
      </c>
      <c r="G24" s="59">
        <f t="shared" ref="G24:G25" si="23">IF(F24&lt;2000,64/F24,0.11*POWER((($L$3/(E24/1000))+(68/F24)),0.25))</f>
        <v>2.6541135153496646E-2</v>
      </c>
      <c r="H24" s="59">
        <f>IF(G24&lt;0.018,G24*0.85+0.0028,G24)</f>
        <v>2.6541135153496646E-2</v>
      </c>
      <c r="I24" s="59">
        <f t="shared" ref="I24:I25" si="24">IF(F24&lt;2000,G24,H24)</f>
        <v>2.6541135153496646E-2</v>
      </c>
      <c r="J24" s="58">
        <v>1.5</v>
      </c>
      <c r="K24" s="60">
        <f t="shared" ref="K24:K25" si="25">I24/(E24/1000)*$O$3*M24*M24/2</f>
        <v>0.30229247578838042</v>
      </c>
      <c r="L24" s="61">
        <f t="shared" ref="L24:L25" si="26">J24*K24</f>
        <v>0.4534387136825706</v>
      </c>
      <c r="M24" s="60">
        <f t="shared" ref="M24:M25" si="27">IF(C24=0,B24/3600/3.14159/(E24/1000)/(E24/1000)*4,(B24/3600)/(C24/1000)/(D24/1000))</f>
        <v>1.9452287252986895</v>
      </c>
      <c r="N24" s="62">
        <f t="shared" ref="N24:N25" si="28">$O$3*M24*M24/2</f>
        <v>2.2779167058237531</v>
      </c>
      <c r="O24" s="58"/>
      <c r="P24" s="58"/>
      <c r="Q24" s="58"/>
      <c r="R24" s="58"/>
      <c r="S24" s="58"/>
      <c r="T24" s="58"/>
      <c r="U24" s="58"/>
      <c r="V24" s="58">
        <v>0</v>
      </c>
      <c r="W24" s="58">
        <v>20</v>
      </c>
      <c r="X24" s="69" t="s">
        <v>61</v>
      </c>
      <c r="Y24" s="4">
        <f t="shared" ref="Y24:Y25" si="29">Q24*$Q$9+R24*$R$9+S24*$S$9+T24*$T$9+U24*$U$9+V24*$V$9+O24*$O$9+P24*$P$9</f>
        <v>0</v>
      </c>
      <c r="Z24" s="64">
        <f>N24*Y24+W24</f>
        <v>20</v>
      </c>
      <c r="AA24" s="54">
        <f>ROUND(L24+Z24,0)</f>
        <v>20</v>
      </c>
      <c r="AE24" s="27"/>
    </row>
    <row r="25" spans="1:34" s="66" customFormat="1" x14ac:dyDescent="0.2">
      <c r="A25" s="55" t="s">
        <v>65</v>
      </c>
      <c r="B25" s="56">
        <f>B24+220</f>
        <v>440</v>
      </c>
      <c r="C25" s="57">
        <v>400</v>
      </c>
      <c r="D25" s="58">
        <v>200</v>
      </c>
      <c r="E25" s="58">
        <f t="shared" ref="E25" si="30">IF(C25=0,dia(B25)/1000,POWER(3.24228*(((C25/1000)*(D25/1000))*((C25/1000)*(D25/1000))*((C25/1000)*(D25/1000)))/(((C25/1000)+(D25/1000))),0.2))*1000</f>
        <v>307.88876783578883</v>
      </c>
      <c r="F25" s="58">
        <f t="shared" si="22"/>
        <v>31151.365399132417</v>
      </c>
      <c r="G25" s="59">
        <f t="shared" si="23"/>
        <v>2.5004818407912091E-2</v>
      </c>
      <c r="H25" s="59">
        <f t="shared" ref="H25" si="31">IF(G25&lt;0.018,G25*0.85+0.0028,G25)</f>
        <v>2.5004818407912091E-2</v>
      </c>
      <c r="I25" s="59">
        <f t="shared" si="24"/>
        <v>2.5004818407912091E-2</v>
      </c>
      <c r="J25" s="58">
        <v>1</v>
      </c>
      <c r="K25" s="60">
        <f t="shared" si="25"/>
        <v>0.11411604932235626</v>
      </c>
      <c r="L25" s="61">
        <f t="shared" si="26"/>
        <v>0.11411604932235626</v>
      </c>
      <c r="M25" s="60">
        <f t="shared" si="27"/>
        <v>1.5277777777777775</v>
      </c>
      <c r="N25" s="62">
        <f t="shared" si="28"/>
        <v>1.4051311728395055</v>
      </c>
      <c r="O25" s="58"/>
      <c r="P25" s="58"/>
      <c r="Q25" s="58"/>
      <c r="R25" s="58"/>
      <c r="S25" s="58"/>
      <c r="T25" s="58"/>
      <c r="U25" s="58">
        <v>1</v>
      </c>
      <c r="V25" s="58"/>
      <c r="W25" s="58"/>
      <c r="X25" s="63"/>
      <c r="Y25" s="62">
        <f t="shared" si="29"/>
        <v>0.2</v>
      </c>
      <c r="Z25" s="64">
        <f t="shared" ref="Z25" si="32">N25*Y25+W25</f>
        <v>0.2810262345679011</v>
      </c>
      <c r="AA25" s="65">
        <f t="shared" ref="AA25" si="33">ROUND(L25+Z25,0)</f>
        <v>0</v>
      </c>
      <c r="AE25" s="67"/>
    </row>
    <row r="26" spans="1:34" s="66" customFormat="1" x14ac:dyDescent="0.2">
      <c r="A26" s="55" t="s">
        <v>66</v>
      </c>
      <c r="B26" s="56">
        <f t="shared" ref="B26:B28" si="34">B25+220</f>
        <v>660</v>
      </c>
      <c r="C26" s="57">
        <v>400</v>
      </c>
      <c r="D26" s="58">
        <v>200</v>
      </c>
      <c r="E26" s="58">
        <f t="shared" ref="E26:E34" si="35">IF(C26=0,dia(B26)/1000,POWER(3.24228*(((C26/1000)*(D26/1000))*((C26/1000)*(D26/1000))*((C26/1000)*(D26/1000)))/(((C26/1000)+(D26/1000))),0.2))*1000</f>
        <v>307.88876783578883</v>
      </c>
      <c r="F26" s="58">
        <f t="shared" ref="F26:F34" si="36">M26*(E26/1000)/$B$3</f>
        <v>46727.048098698629</v>
      </c>
      <c r="G26" s="59">
        <f t="shared" ref="G26:G34" si="37">IF(F26&lt;2000,64/F26,0.11*POWER((($L$3/(E26/1000))+(68/F26)),0.25))</f>
        <v>2.3092985496754263E-2</v>
      </c>
      <c r="H26" s="59">
        <f t="shared" ref="H26:H34" si="38">IF(G26&lt;0.018,G26*0.85+0.0028,G26)</f>
        <v>2.3092985496754263E-2</v>
      </c>
      <c r="I26" s="59">
        <f t="shared" ref="I26:I34" si="39">IF(F26&lt;2000,G26,H26)</f>
        <v>2.3092985496754263E-2</v>
      </c>
      <c r="J26" s="58">
        <v>1</v>
      </c>
      <c r="K26" s="60">
        <f t="shared" ref="K26:K34" si="40">I26/(E26/1000)*$O$3*M26*M26/2</f>
        <v>0.23712952100491802</v>
      </c>
      <c r="L26" s="61">
        <f t="shared" ref="L26:L34" si="41">J26*K26</f>
        <v>0.23712952100491802</v>
      </c>
      <c r="M26" s="60">
        <f t="shared" ref="M26:M34" si="42">IF(C26=0,B26/3600/3.14159/(E26/1000)/(E26/1000)*4,(B26/3600)/(C26/1000)/(D26/1000))</f>
        <v>2.2916666666666661</v>
      </c>
      <c r="N26" s="62">
        <f t="shared" ref="N26:N34" si="43">$O$3*M26*M26/2</f>
        <v>3.1615451388888873</v>
      </c>
      <c r="O26" s="58"/>
      <c r="P26" s="58"/>
      <c r="Q26" s="58"/>
      <c r="R26" s="58"/>
      <c r="S26" s="58"/>
      <c r="T26" s="58"/>
      <c r="U26" s="58">
        <v>1</v>
      </c>
      <c r="V26" s="58"/>
      <c r="W26" s="58"/>
      <c r="X26" s="63"/>
      <c r="Y26" s="62">
        <f t="shared" ref="Y26:Y34" si="44">Q26*$Q$9+R26*$R$9+S26*$S$9+T26*$T$9+U26*$U$9+V26*$V$9+O26*$O$9+P26*$P$9</f>
        <v>0.2</v>
      </c>
      <c r="Z26" s="64">
        <f t="shared" ref="Z26:Z34" si="45">N26*Y26+W26</f>
        <v>0.63230902777777753</v>
      </c>
      <c r="AA26" s="65">
        <f t="shared" ref="AA26:AA34" si="46">ROUND(L26+Z26,0)</f>
        <v>1</v>
      </c>
      <c r="AE26" s="67"/>
    </row>
    <row r="27" spans="1:34" s="66" customFormat="1" x14ac:dyDescent="0.2">
      <c r="A27" s="55" t="s">
        <v>67</v>
      </c>
      <c r="B27" s="56">
        <f t="shared" si="34"/>
        <v>880</v>
      </c>
      <c r="C27" s="57">
        <v>400</v>
      </c>
      <c r="D27" s="58">
        <v>200</v>
      </c>
      <c r="E27" s="58">
        <f t="shared" si="35"/>
        <v>307.88876783578883</v>
      </c>
      <c r="F27" s="58">
        <f t="shared" si="36"/>
        <v>62302.730798264834</v>
      </c>
      <c r="G27" s="59">
        <f t="shared" si="37"/>
        <v>2.1926183233328376E-2</v>
      </c>
      <c r="H27" s="59">
        <f t="shared" si="38"/>
        <v>2.1926183233328376E-2</v>
      </c>
      <c r="I27" s="59">
        <f t="shared" si="39"/>
        <v>2.1926183233328376E-2</v>
      </c>
      <c r="J27" s="58">
        <v>1</v>
      </c>
      <c r="K27" s="60">
        <f t="shared" si="40"/>
        <v>0.40026355984473633</v>
      </c>
      <c r="L27" s="61">
        <f t="shared" si="41"/>
        <v>0.40026355984473633</v>
      </c>
      <c r="M27" s="60">
        <f t="shared" si="42"/>
        <v>3.0555555555555549</v>
      </c>
      <c r="N27" s="62">
        <f t="shared" si="43"/>
        <v>5.620524691358022</v>
      </c>
      <c r="O27" s="58"/>
      <c r="P27" s="58"/>
      <c r="Q27" s="58"/>
      <c r="R27" s="58"/>
      <c r="S27" s="58"/>
      <c r="T27" s="58"/>
      <c r="U27" s="58">
        <v>1</v>
      </c>
      <c r="V27" s="58"/>
      <c r="W27" s="58"/>
      <c r="X27" s="63"/>
      <c r="Y27" s="62">
        <f t="shared" si="44"/>
        <v>0.2</v>
      </c>
      <c r="Z27" s="64">
        <f t="shared" si="45"/>
        <v>1.1241049382716044</v>
      </c>
      <c r="AA27" s="65">
        <f t="shared" si="46"/>
        <v>2</v>
      </c>
      <c r="AE27" s="67"/>
    </row>
    <row r="28" spans="1:34" s="66" customFormat="1" x14ac:dyDescent="0.2">
      <c r="A28" s="55" t="s">
        <v>68</v>
      </c>
      <c r="B28" s="56">
        <f t="shared" si="34"/>
        <v>1100</v>
      </c>
      <c r="C28" s="57">
        <v>400</v>
      </c>
      <c r="D28" s="58">
        <v>200</v>
      </c>
      <c r="E28" s="58">
        <f t="shared" si="35"/>
        <v>307.88876783578883</v>
      </c>
      <c r="F28" s="58">
        <f t="shared" si="36"/>
        <v>77878.413497831076</v>
      </c>
      <c r="G28" s="59">
        <f t="shared" si="37"/>
        <v>2.1125400044861263E-2</v>
      </c>
      <c r="H28" s="59">
        <f t="shared" si="38"/>
        <v>2.1125400044861263E-2</v>
      </c>
      <c r="I28" s="59">
        <f t="shared" si="39"/>
        <v>2.1125400044861263E-2</v>
      </c>
      <c r="J28" s="58">
        <v>3</v>
      </c>
      <c r="K28" s="60">
        <f t="shared" si="40"/>
        <v>0.60257066111882884</v>
      </c>
      <c r="L28" s="61">
        <f t="shared" si="41"/>
        <v>1.8077119833564865</v>
      </c>
      <c r="M28" s="60">
        <f t="shared" si="42"/>
        <v>3.8194444444444446</v>
      </c>
      <c r="N28" s="62">
        <f t="shared" si="43"/>
        <v>8.7820698302469147</v>
      </c>
      <c r="O28" s="58">
        <v>1</v>
      </c>
      <c r="P28" s="58"/>
      <c r="Q28" s="58"/>
      <c r="R28" s="58"/>
      <c r="S28" s="58">
        <v>1</v>
      </c>
      <c r="T28" s="58"/>
      <c r="U28" s="58">
        <v>1</v>
      </c>
      <c r="V28" s="58"/>
      <c r="W28" s="58"/>
      <c r="X28" s="63"/>
      <c r="Y28" s="62">
        <f t="shared" si="44"/>
        <v>1.25</v>
      </c>
      <c r="Z28" s="64">
        <f t="shared" si="45"/>
        <v>10.977587287808642</v>
      </c>
      <c r="AA28" s="65">
        <f t="shared" si="46"/>
        <v>13</v>
      </c>
      <c r="AE28" s="67"/>
    </row>
    <row r="29" spans="1:34" s="66" customFormat="1" x14ac:dyDescent="0.2">
      <c r="A29" s="55" t="s">
        <v>75</v>
      </c>
      <c r="B29" s="56">
        <v>1100</v>
      </c>
      <c r="C29" s="57"/>
      <c r="D29" s="58"/>
      <c r="E29" s="58">
        <f t="shared" si="35"/>
        <v>315</v>
      </c>
      <c r="F29" s="58">
        <f t="shared" si="36"/>
        <v>81792.440882947136</v>
      </c>
      <c r="G29" s="59">
        <f t="shared" si="37"/>
        <v>2.0917431385181959E-2</v>
      </c>
      <c r="H29" s="59">
        <f t="shared" si="38"/>
        <v>2.0917431385181959E-2</v>
      </c>
      <c r="I29" s="59">
        <f t="shared" si="39"/>
        <v>2.0917431385181959E-2</v>
      </c>
      <c r="J29" s="58">
        <v>7</v>
      </c>
      <c r="K29" s="60">
        <f t="shared" si="40"/>
        <v>0.61454461160336349</v>
      </c>
      <c r="L29" s="61">
        <f t="shared" si="41"/>
        <v>4.301812281223544</v>
      </c>
      <c r="M29" s="60">
        <f t="shared" si="42"/>
        <v>3.9208439915317514</v>
      </c>
      <c r="N29" s="62">
        <f t="shared" si="43"/>
        <v>9.2545565987702432</v>
      </c>
      <c r="O29" s="58"/>
      <c r="P29" s="58"/>
      <c r="Q29" s="58">
        <v>2</v>
      </c>
      <c r="R29" s="58"/>
      <c r="S29" s="58"/>
      <c r="T29" s="58"/>
      <c r="U29" s="58"/>
      <c r="V29" s="58"/>
      <c r="W29" s="58"/>
      <c r="X29" s="63"/>
      <c r="Y29" s="62">
        <f t="shared" si="44"/>
        <v>1</v>
      </c>
      <c r="Z29" s="64">
        <f t="shared" si="45"/>
        <v>9.2545565987702432</v>
      </c>
      <c r="AA29" s="65">
        <f t="shared" si="46"/>
        <v>14</v>
      </c>
      <c r="AE29" s="67"/>
    </row>
    <row r="30" spans="1:34" s="66" customFormat="1" x14ac:dyDescent="0.2">
      <c r="A30" s="55" t="s">
        <v>76</v>
      </c>
      <c r="B30" s="56">
        <v>1400</v>
      </c>
      <c r="C30" s="57"/>
      <c r="D30" s="58"/>
      <c r="E30" s="58">
        <v>315</v>
      </c>
      <c r="F30" s="58">
        <f t="shared" si="36"/>
        <v>104099.47021465999</v>
      </c>
      <c r="G30" s="59">
        <f t="shared" si="37"/>
        <v>2.0165350321246681E-2</v>
      </c>
      <c r="H30" s="59">
        <f t="shared" si="38"/>
        <v>2.0165350321246681E-2</v>
      </c>
      <c r="I30" s="59">
        <f t="shared" si="39"/>
        <v>2.0165350321246681E-2</v>
      </c>
      <c r="J30" s="58">
        <v>7</v>
      </c>
      <c r="K30" s="60">
        <f t="shared" si="40"/>
        <v>0.95966915054108315</v>
      </c>
      <c r="L30" s="61">
        <f t="shared" si="41"/>
        <v>6.7176840537875817</v>
      </c>
      <c r="M30" s="60">
        <f t="shared" si="42"/>
        <v>4.9901650801313195</v>
      </c>
      <c r="N30" s="62">
        <f t="shared" si="43"/>
        <v>14.990852011231135</v>
      </c>
      <c r="O30" s="58"/>
      <c r="P30" s="58"/>
      <c r="Q30" s="58">
        <v>1</v>
      </c>
      <c r="R30" s="58">
        <v>1</v>
      </c>
      <c r="S30" s="58"/>
      <c r="T30" s="58"/>
      <c r="U30" s="58"/>
      <c r="V30" s="58"/>
      <c r="W30" s="58">
        <v>60</v>
      </c>
      <c r="X30" s="63" t="s">
        <v>73</v>
      </c>
      <c r="Y30" s="62">
        <f t="shared" si="44"/>
        <v>0.75</v>
      </c>
      <c r="Z30" s="64">
        <f t="shared" si="45"/>
        <v>71.243139008423356</v>
      </c>
      <c r="AA30" s="65">
        <f t="shared" si="46"/>
        <v>78</v>
      </c>
      <c r="AE30" s="67"/>
    </row>
    <row r="31" spans="1:34" s="66" customFormat="1" x14ac:dyDescent="0.2">
      <c r="A31" s="86" t="s">
        <v>77</v>
      </c>
      <c r="B31" s="87"/>
      <c r="C31" s="87"/>
      <c r="D31" s="88"/>
      <c r="E31" s="89"/>
      <c r="F31" s="90"/>
      <c r="G31" s="89"/>
      <c r="H31" s="89"/>
      <c r="I31" s="89"/>
      <c r="J31" s="89"/>
      <c r="K31" s="89"/>
      <c r="L31" s="89"/>
      <c r="M31" s="91"/>
      <c r="N31" s="89"/>
      <c r="O31" s="92"/>
      <c r="P31" s="89"/>
      <c r="Q31" s="89"/>
      <c r="R31" s="89"/>
      <c r="S31" s="89"/>
      <c r="T31" s="89"/>
      <c r="U31" s="89"/>
      <c r="V31" s="89"/>
      <c r="W31" s="89"/>
      <c r="X31" s="89"/>
      <c r="Y31" s="90"/>
      <c r="Z31" s="92"/>
      <c r="AA31" s="112"/>
      <c r="AB31" s="9"/>
      <c r="AE31" s="67"/>
      <c r="AF31" s="66" t="s">
        <v>27</v>
      </c>
      <c r="AG31" s="66" t="s">
        <v>28</v>
      </c>
      <c r="AH31" s="66" t="s">
        <v>55</v>
      </c>
    </row>
    <row r="32" spans="1:34" s="66" customFormat="1" x14ac:dyDescent="0.2">
      <c r="A32" s="55" t="s">
        <v>69</v>
      </c>
      <c r="B32" s="56">
        <v>1400</v>
      </c>
      <c r="C32" s="57"/>
      <c r="D32" s="58"/>
      <c r="E32" s="58">
        <v>315</v>
      </c>
      <c r="F32" s="58">
        <f t="shared" ref="F32:F33" si="47">M32*(E32/1000)/$B$3</f>
        <v>104099.47021465999</v>
      </c>
      <c r="G32" s="59">
        <f t="shared" ref="G32:G33" si="48">IF(F32&lt;2000,64/F32,0.11*POWER((($L$3/(E32/1000))+(68/F32)),0.25))</f>
        <v>2.0165350321246681E-2</v>
      </c>
      <c r="H32" s="59">
        <f t="shared" ref="H32:H33" si="49">IF(G32&lt;0.018,G32*0.85+0.0028,G32)</f>
        <v>2.0165350321246681E-2</v>
      </c>
      <c r="I32" s="59">
        <f t="shared" ref="I32:I33" si="50">IF(F32&lt;2000,G32,H32)</f>
        <v>2.0165350321246681E-2</v>
      </c>
      <c r="J32" s="58">
        <v>4</v>
      </c>
      <c r="K32" s="60">
        <f t="shared" ref="K32:K33" si="51">I32/(E32/1000)*$O$3*M32*M32/2</f>
        <v>0.95966915054108315</v>
      </c>
      <c r="L32" s="61">
        <f t="shared" ref="L32:L33" si="52">J32*K32</f>
        <v>3.8386766021643326</v>
      </c>
      <c r="M32" s="60">
        <f t="shared" ref="M32:M33" si="53">IF(C32=0,B32/3600/3.14159/(E32/1000)/(E32/1000)*4,(B32/3600)/(C32/1000)/(D32/1000))</f>
        <v>4.9901650801313195</v>
      </c>
      <c r="N32" s="62">
        <f t="shared" ref="N32:N33" si="54">$O$3*M32*M32/2</f>
        <v>14.990852011231135</v>
      </c>
      <c r="O32" s="58"/>
      <c r="P32" s="58"/>
      <c r="Q32" s="58">
        <v>1</v>
      </c>
      <c r="R32" s="58"/>
      <c r="S32" s="58"/>
      <c r="T32" s="58"/>
      <c r="U32" s="58"/>
      <c r="V32" s="58">
        <v>0</v>
      </c>
      <c r="W32" s="58">
        <v>50</v>
      </c>
      <c r="X32" s="63" t="s">
        <v>59</v>
      </c>
      <c r="Y32" s="62">
        <f t="shared" ref="Y32:Y33" si="55">Q32*$Q$9+R32*$R$9+S32*$S$9+T32*$T$9+U32*$U$9+V32*$V$9+O32*$O$9+P32*$P$9</f>
        <v>0.5</v>
      </c>
      <c r="Z32" s="64">
        <f t="shared" ref="Z32:Z33" si="56">N32*Y32+W32</f>
        <v>57.49542600561557</v>
      </c>
      <c r="AA32" s="65">
        <f t="shared" ref="AA32:AA33" si="57">ROUND(L32+Z32,0)</f>
        <v>61</v>
      </c>
      <c r="AB32" s="9"/>
      <c r="AE32" s="67"/>
      <c r="AF32" s="66" t="s">
        <v>25</v>
      </c>
    </row>
    <row r="33" spans="1:32" s="9" customFormat="1" x14ac:dyDescent="0.2">
      <c r="A33" s="55" t="s">
        <v>70</v>
      </c>
      <c r="B33" s="56">
        <v>1400</v>
      </c>
      <c r="C33" s="57">
        <v>500</v>
      </c>
      <c r="D33" s="58">
        <v>200</v>
      </c>
      <c r="E33" s="58">
        <f>IF(C33=0,dia(B33)/1000,POWER(3.24228*(((C33/1000)*(D33/1000))*((C33/1000)*(D33/1000))*((C33/1000)*(D33/1000)))/(((C33/1000)+(D33/1000))),0.2))*1000</f>
        <v>341.31116522021199</v>
      </c>
      <c r="F33" s="58">
        <f t="shared" si="47"/>
        <v>87902.066097920673</v>
      </c>
      <c r="G33" s="59">
        <f t="shared" si="48"/>
        <v>2.0528827139293559E-2</v>
      </c>
      <c r="H33" s="59">
        <f t="shared" si="49"/>
        <v>2.0528827139293559E-2</v>
      </c>
      <c r="I33" s="59">
        <f t="shared" si="50"/>
        <v>2.0528827139293559E-2</v>
      </c>
      <c r="J33" s="58">
        <v>7</v>
      </c>
      <c r="K33" s="60">
        <f t="shared" si="51"/>
        <v>0.54759718058332629</v>
      </c>
      <c r="L33" s="61">
        <f t="shared" si="52"/>
        <v>3.8331802640832842</v>
      </c>
      <c r="M33" s="60">
        <f t="shared" si="53"/>
        <v>3.8888888888888888</v>
      </c>
      <c r="N33" s="62">
        <f t="shared" si="54"/>
        <v>9.1043209876543205</v>
      </c>
      <c r="O33" s="58">
        <v>2</v>
      </c>
      <c r="P33" s="58"/>
      <c r="Q33" s="58"/>
      <c r="R33" s="58"/>
      <c r="S33" s="58">
        <v>1</v>
      </c>
      <c r="T33" s="58"/>
      <c r="U33" s="58"/>
      <c r="V33" s="58">
        <v>1</v>
      </c>
      <c r="W33" s="58">
        <v>25</v>
      </c>
      <c r="X33" s="63" t="s">
        <v>78</v>
      </c>
      <c r="Y33" s="4">
        <f t="shared" si="55"/>
        <v>3.55</v>
      </c>
      <c r="Z33" s="64">
        <f t="shared" si="56"/>
        <v>57.320339506172836</v>
      </c>
      <c r="AA33" s="54">
        <f t="shared" si="57"/>
        <v>61</v>
      </c>
      <c r="AE33" s="27"/>
      <c r="AF33" s="9" t="s">
        <v>23</v>
      </c>
    </row>
    <row r="34" spans="1:32" s="66" customFormat="1" x14ac:dyDescent="0.2">
      <c r="A34" s="55" t="s">
        <v>71</v>
      </c>
      <c r="B34" s="56">
        <v>26519</v>
      </c>
      <c r="C34" s="57">
        <v>1400</v>
      </c>
      <c r="D34" s="58">
        <v>950</v>
      </c>
      <c r="E34" s="58">
        <f t="shared" si="35"/>
        <v>1265.515636501794</v>
      </c>
      <c r="F34" s="58">
        <f t="shared" si="36"/>
        <v>464187.63747657073</v>
      </c>
      <c r="G34" s="59">
        <f t="shared" si="37"/>
        <v>1.4035014234389524E-2</v>
      </c>
      <c r="H34" s="59">
        <f t="shared" si="38"/>
        <v>1.4729762099231096E-2</v>
      </c>
      <c r="I34" s="59">
        <f t="shared" si="39"/>
        <v>1.4729762099231096E-2</v>
      </c>
      <c r="J34" s="58">
        <v>30</v>
      </c>
      <c r="K34" s="60">
        <f t="shared" si="40"/>
        <v>0.21494666509602306</v>
      </c>
      <c r="L34" s="61">
        <f t="shared" si="41"/>
        <v>6.4483999528806919</v>
      </c>
      <c r="M34" s="60">
        <f t="shared" si="42"/>
        <v>5.5386382623224746</v>
      </c>
      <c r="N34" s="62">
        <f t="shared" si="43"/>
        <v>18.467261308119237</v>
      </c>
      <c r="O34" s="58">
        <v>5</v>
      </c>
      <c r="P34" s="58"/>
      <c r="Q34" s="58"/>
      <c r="R34" s="58"/>
      <c r="S34" s="58"/>
      <c r="T34" s="58"/>
      <c r="U34" s="58"/>
      <c r="V34" s="58"/>
      <c r="W34" s="58">
        <v>20</v>
      </c>
      <c r="X34" s="63" t="s">
        <v>60</v>
      </c>
      <c r="Y34" s="62">
        <f t="shared" si="44"/>
        <v>4</v>
      </c>
      <c r="Z34" s="64">
        <f t="shared" si="45"/>
        <v>93.86904523247695</v>
      </c>
      <c r="AA34" s="65">
        <f t="shared" si="46"/>
        <v>100</v>
      </c>
      <c r="AE34" s="67"/>
    </row>
    <row r="35" spans="1:32" s="66" customFormat="1" ht="13.5" thickBot="1" x14ac:dyDescent="0.25">
      <c r="A35" s="55"/>
      <c r="B35" s="56"/>
      <c r="C35" s="57"/>
      <c r="D35" s="58"/>
      <c r="E35" s="58"/>
      <c r="F35" s="58"/>
      <c r="G35" s="59"/>
      <c r="H35" s="59"/>
      <c r="I35" s="59"/>
      <c r="J35" s="58"/>
      <c r="K35" s="60"/>
      <c r="L35" s="61"/>
      <c r="M35" s="60"/>
      <c r="N35" s="62"/>
      <c r="O35" s="58"/>
      <c r="P35" s="58"/>
      <c r="Q35" s="58"/>
      <c r="R35" s="58"/>
      <c r="S35" s="58"/>
      <c r="T35" s="58"/>
      <c r="U35" s="58"/>
      <c r="V35" s="58"/>
      <c r="W35" s="58"/>
      <c r="X35" s="63"/>
      <c r="Y35" s="62"/>
      <c r="Z35" s="64"/>
      <c r="AA35" s="65"/>
      <c r="AE35" s="67"/>
    </row>
    <row r="36" spans="1:32" s="66" customFormat="1" ht="13.5" thickBot="1" x14ac:dyDescent="0.25">
      <c r="A36" s="55"/>
      <c r="B36" s="56"/>
      <c r="C36" s="57"/>
      <c r="D36" s="58"/>
      <c r="E36" s="58"/>
      <c r="F36" s="58"/>
      <c r="G36" s="59"/>
      <c r="H36" s="59"/>
      <c r="I36" s="59"/>
      <c r="J36" s="58"/>
      <c r="K36" s="60"/>
      <c r="L36" s="61"/>
      <c r="M36" s="60"/>
      <c r="N36" s="62"/>
      <c r="O36" s="58"/>
      <c r="P36" s="58"/>
      <c r="Q36" s="58"/>
      <c r="R36" s="58"/>
      <c r="S36" s="58"/>
      <c r="T36" s="58"/>
      <c r="U36" s="58"/>
      <c r="V36" s="58"/>
      <c r="W36" s="58"/>
      <c r="X36" s="63"/>
      <c r="Y36" s="62"/>
      <c r="Z36" s="95"/>
      <c r="AA36" s="96">
        <f>SUM(AA24:AA34)</f>
        <v>350</v>
      </c>
      <c r="AE36" s="67"/>
    </row>
    <row r="37" spans="1:32" s="2" customFormat="1" ht="13.5" thickBot="1" x14ac:dyDescent="0.25">
      <c r="A37" s="113"/>
      <c r="B37" s="114"/>
      <c r="C37" s="115"/>
      <c r="D37" s="116"/>
      <c r="E37" s="117"/>
      <c r="F37" s="118"/>
      <c r="G37" s="118"/>
      <c r="H37" s="118"/>
      <c r="I37" s="118"/>
      <c r="J37" s="118"/>
      <c r="K37" s="118"/>
      <c r="L37" s="119"/>
      <c r="M37" s="120"/>
      <c r="N37" s="121"/>
      <c r="O37" s="120"/>
      <c r="P37" s="120"/>
      <c r="Q37" s="120"/>
      <c r="R37" s="120"/>
      <c r="S37" s="120"/>
      <c r="T37" s="120"/>
      <c r="U37" s="120"/>
      <c r="V37" s="120"/>
      <c r="W37" s="120"/>
      <c r="X37" s="122"/>
      <c r="Y37" s="123"/>
      <c r="Z37" s="124"/>
      <c r="AA37" s="125"/>
      <c r="AE37" s="3"/>
    </row>
    <row r="38" spans="1:32" s="2" customFormat="1" x14ac:dyDescent="0.2">
      <c r="A38" s="98"/>
      <c r="B38" s="99"/>
      <c r="C38" s="100"/>
      <c r="D38" s="100"/>
      <c r="E38" s="100"/>
      <c r="F38" s="101"/>
      <c r="G38" s="101"/>
      <c r="H38" s="101"/>
      <c r="I38" s="101"/>
      <c r="J38" s="101"/>
      <c r="K38" s="101"/>
      <c r="L38" s="101"/>
      <c r="M38" s="102"/>
      <c r="N38" s="102"/>
      <c r="O38" s="102"/>
      <c r="P38" s="102"/>
      <c r="Q38" s="102"/>
      <c r="R38" s="102"/>
      <c r="S38" s="102"/>
      <c r="T38" s="102"/>
      <c r="U38" s="102"/>
      <c r="V38" s="102"/>
      <c r="W38" s="102"/>
      <c r="X38" s="102"/>
      <c r="Y38" s="103"/>
      <c r="Z38" s="104"/>
      <c r="AA38" s="105"/>
    </row>
    <row r="39" spans="1:32" s="2" customFormat="1" x14ac:dyDescent="0.2">
      <c r="A39" s="24"/>
      <c r="B39" s="29"/>
      <c r="C39" s="30"/>
      <c r="D39" s="30"/>
      <c r="E39" s="30"/>
      <c r="F39" s="6"/>
      <c r="G39" s="6"/>
      <c r="H39" s="6"/>
      <c r="I39" s="6"/>
      <c r="J39" s="6"/>
      <c r="K39" s="6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26"/>
      <c r="Z39" s="26"/>
      <c r="AA39" s="106"/>
    </row>
    <row r="40" spans="1:32" s="2" customFormat="1" x14ac:dyDescent="0.2">
      <c r="A40" s="31"/>
      <c r="B40" s="32"/>
      <c r="C40" s="77"/>
      <c r="D40" s="77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 t="s">
        <v>79</v>
      </c>
      <c r="R40" s="33"/>
      <c r="S40" s="97">
        <f>AA21</f>
        <v>329</v>
      </c>
      <c r="T40" s="33"/>
      <c r="U40" s="33" t="s">
        <v>21</v>
      </c>
      <c r="V40" s="33" t="s">
        <v>81</v>
      </c>
      <c r="W40" s="33"/>
      <c r="X40" s="33"/>
      <c r="Y40" s="33"/>
      <c r="Z40" s="33"/>
      <c r="AA40" s="34"/>
    </row>
    <row r="41" spans="1:32" s="2" customFormat="1" x14ac:dyDescent="0.2">
      <c r="A41" s="31"/>
      <c r="B41" s="32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 t="s">
        <v>80</v>
      </c>
      <c r="R41" s="33"/>
      <c r="S41" s="97">
        <f>AA36</f>
        <v>350</v>
      </c>
      <c r="T41" s="33"/>
      <c r="U41" s="33"/>
      <c r="V41" s="33" t="s">
        <v>81</v>
      </c>
      <c r="W41" s="33"/>
      <c r="X41" s="33"/>
      <c r="Y41" s="33"/>
      <c r="Z41" s="33"/>
      <c r="AA41" s="34"/>
    </row>
    <row r="42" spans="1:32" s="2" customFormat="1" ht="13.5" thickBot="1" x14ac:dyDescent="0.25">
      <c r="A42" s="35"/>
      <c r="B42" s="36"/>
      <c r="C42" s="37"/>
      <c r="D42" s="37"/>
      <c r="E42" s="37"/>
      <c r="F42" s="38"/>
      <c r="G42" s="38"/>
      <c r="H42" s="38"/>
      <c r="I42" s="38"/>
      <c r="J42" s="38"/>
      <c r="K42" s="38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40"/>
      <c r="Z42" s="40"/>
      <c r="AA42" s="107"/>
    </row>
  </sheetData>
  <mergeCells count="4">
    <mergeCell ref="O4:X4"/>
    <mergeCell ref="C5:E5"/>
    <mergeCell ref="C6:E6"/>
    <mergeCell ref="J4:N4"/>
  </mergeCells>
  <phoneticPr fontId="30" type="noConversion"/>
  <pageMargins left="0.7" right="0.7" top="0.75" bottom="0.75" header="0.3" footer="0.3"/>
  <pageSetup paperSize="9" scale="52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PdC Bas</vt:lpstr>
      <vt:lpstr>PdC Haut</vt:lpstr>
      <vt:lpstr>PdC reprise Bas</vt:lpstr>
      <vt:lpstr>PdC reprise Haut</vt:lpstr>
      <vt:lpstr>cta compensation</vt:lpstr>
      <vt:lpstr>cta01</vt:lpstr>
    </vt:vector>
  </TitlesOfParts>
  <Company>FLUGECLIM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FLUGECLIM</dc:creator>
  <cp:lastModifiedBy>AIT BOUDAOUD Hacene</cp:lastModifiedBy>
  <cp:lastPrinted>2026-01-14T16:23:44Z</cp:lastPrinted>
  <dcterms:created xsi:type="dcterms:W3CDTF">2000-07-11T14:10:08Z</dcterms:created>
  <dcterms:modified xsi:type="dcterms:W3CDTF">2026-01-16T10:40:47Z</dcterms:modified>
</cp:coreProperties>
</file>