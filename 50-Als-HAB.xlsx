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cene.aitboudaoud\Desktop\"/>
    </mc:Choice>
  </mc:AlternateContent>
  <xr:revisionPtr revIDLastSave="0" documentId="13_ncr:1_{44D0A1B6-94CE-4B22-B048-3F814591DEF7}" xr6:coauthVersionLast="47" xr6:coauthVersionMax="47" xr10:uidLastSave="{00000000-0000-0000-0000-000000000000}"/>
  <bookViews>
    <workbookView xWindow="27990" yWindow="3030" windowWidth="24540" windowHeight="15330" xr2:uid="{2A7658DD-37EA-4695-9735-AB25068DAC1E}"/>
  </bookViews>
  <sheets>
    <sheet name="Soufflage" sheetId="1" r:id="rId1"/>
    <sheet name="VM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3" i="2" l="1"/>
  <c r="G73" i="2"/>
  <c r="G79" i="2"/>
  <c r="G92" i="2"/>
  <c r="G100" i="2"/>
  <c r="I92" i="2"/>
  <c r="H92" i="2"/>
  <c r="H100" i="2"/>
  <c r="I100" i="2"/>
  <c r="H79" i="2"/>
  <c r="I79" i="2"/>
  <c r="H61" i="2"/>
  <c r="I54" i="2"/>
  <c r="H54" i="2"/>
  <c r="H24" i="2"/>
  <c r="G24" i="2"/>
  <c r="H30" i="2"/>
  <c r="G30" i="2"/>
  <c r="H38" i="2"/>
  <c r="G38" i="2"/>
  <c r="G14" i="2"/>
  <c r="G10" i="2"/>
  <c r="G61" i="2" l="1"/>
  <c r="G54" i="2"/>
  <c r="I123" i="2"/>
  <c r="H123" i="2"/>
  <c r="G123" i="2"/>
  <c r="I114" i="2"/>
  <c r="H114" i="2"/>
  <c r="G114" i="2"/>
  <c r="I73" i="2"/>
  <c r="I61" i="2"/>
  <c r="I47" i="2"/>
  <c r="H47" i="2"/>
  <c r="G47" i="2"/>
  <c r="F38" i="2"/>
  <c r="F30" i="2"/>
  <c r="F24" i="2"/>
  <c r="H14" i="2"/>
  <c r="F14" i="2"/>
  <c r="F10" i="2"/>
  <c r="H10" i="2"/>
  <c r="G137" i="1" l="1"/>
  <c r="G134" i="1"/>
  <c r="F137" i="1"/>
  <c r="G114" i="1"/>
  <c r="G95" i="1"/>
  <c r="G71" i="1"/>
  <c r="G37" i="1"/>
  <c r="K50" i="1"/>
  <c r="K49" i="1"/>
  <c r="K92" i="1"/>
  <c r="K131" i="1"/>
  <c r="J138" i="1"/>
  <c r="I138" i="1"/>
  <c r="F138" i="1"/>
  <c r="I137" i="1"/>
  <c r="J137" i="1" s="1"/>
  <c r="I136" i="1"/>
  <c r="J136" i="1" s="1"/>
  <c r="F136" i="1"/>
  <c r="G136" i="1" s="1"/>
  <c r="I135" i="1"/>
  <c r="J135" i="1" s="1"/>
  <c r="F135" i="1"/>
  <c r="G135" i="1" s="1"/>
  <c r="I134" i="1"/>
  <c r="J134" i="1" s="1"/>
  <c r="F134" i="1"/>
  <c r="I133" i="1"/>
  <c r="J133" i="1" s="1"/>
  <c r="F133" i="1"/>
  <c r="I132" i="1"/>
  <c r="J132" i="1" s="1"/>
  <c r="F132" i="1"/>
  <c r="I131" i="1"/>
  <c r="J131" i="1" s="1"/>
  <c r="F131" i="1"/>
  <c r="G131" i="1" s="1"/>
  <c r="J130" i="1"/>
  <c r="I130" i="1"/>
  <c r="F130" i="1"/>
  <c r="G130" i="1" s="1"/>
  <c r="K130" i="1" s="1"/>
  <c r="I129" i="1"/>
  <c r="J129" i="1" s="1"/>
  <c r="F129" i="1"/>
  <c r="G129" i="1" s="1"/>
  <c r="I128" i="1"/>
  <c r="J128" i="1" s="1"/>
  <c r="F128" i="1"/>
  <c r="G128" i="1" s="1"/>
  <c r="I127" i="1"/>
  <c r="J127" i="1" s="1"/>
  <c r="F127" i="1"/>
  <c r="G127" i="1" s="1"/>
  <c r="I126" i="1"/>
  <c r="J126" i="1" s="1"/>
  <c r="F126" i="1"/>
  <c r="G126" i="1" s="1"/>
  <c r="I125" i="1"/>
  <c r="J125" i="1" s="1"/>
  <c r="F125" i="1"/>
  <c r="G125" i="1" s="1"/>
  <c r="I119" i="1"/>
  <c r="J119" i="1" s="1"/>
  <c r="F119" i="1"/>
  <c r="I118" i="1"/>
  <c r="J118" i="1" s="1"/>
  <c r="F118" i="1"/>
  <c r="G118" i="1" s="1"/>
  <c r="I117" i="1"/>
  <c r="J117" i="1" s="1"/>
  <c r="F117" i="1"/>
  <c r="G117" i="1" s="1"/>
  <c r="I116" i="1"/>
  <c r="J116" i="1" s="1"/>
  <c r="F116" i="1"/>
  <c r="G116" i="1" s="1"/>
  <c r="I115" i="1"/>
  <c r="J115" i="1" s="1"/>
  <c r="F115" i="1"/>
  <c r="G115" i="1" s="1"/>
  <c r="I114" i="1"/>
  <c r="J114" i="1" s="1"/>
  <c r="F114" i="1"/>
  <c r="I113" i="1"/>
  <c r="J113" i="1" s="1"/>
  <c r="F113" i="1"/>
  <c r="I112" i="1"/>
  <c r="J112" i="1" s="1"/>
  <c r="F112" i="1"/>
  <c r="I111" i="1"/>
  <c r="J111" i="1" s="1"/>
  <c r="F111" i="1"/>
  <c r="G111" i="1" s="1"/>
  <c r="I110" i="1"/>
  <c r="J110" i="1" s="1"/>
  <c r="F110" i="1"/>
  <c r="G110" i="1" s="1"/>
  <c r="I109" i="1"/>
  <c r="J109" i="1" s="1"/>
  <c r="F109" i="1"/>
  <c r="G109" i="1" s="1"/>
  <c r="I108" i="1"/>
  <c r="J108" i="1" s="1"/>
  <c r="F108" i="1"/>
  <c r="G108" i="1" s="1"/>
  <c r="I107" i="1"/>
  <c r="J107" i="1" s="1"/>
  <c r="F107" i="1"/>
  <c r="G107" i="1" s="1"/>
  <c r="I106" i="1"/>
  <c r="J106" i="1" s="1"/>
  <c r="F106" i="1"/>
  <c r="G106" i="1" s="1"/>
  <c r="I100" i="1"/>
  <c r="J100" i="1" s="1"/>
  <c r="F100" i="1"/>
  <c r="I99" i="1"/>
  <c r="J99" i="1" s="1"/>
  <c r="K99" i="1" s="1"/>
  <c r="F99" i="1"/>
  <c r="G99" i="1" s="1"/>
  <c r="I98" i="1"/>
  <c r="J98" i="1" s="1"/>
  <c r="F98" i="1"/>
  <c r="G98" i="1" s="1"/>
  <c r="I97" i="1"/>
  <c r="J97" i="1" s="1"/>
  <c r="F97" i="1"/>
  <c r="G97" i="1" s="1"/>
  <c r="I96" i="1"/>
  <c r="J96" i="1" s="1"/>
  <c r="F96" i="1"/>
  <c r="G96" i="1" s="1"/>
  <c r="I95" i="1"/>
  <c r="J95" i="1" s="1"/>
  <c r="F95" i="1"/>
  <c r="I94" i="1"/>
  <c r="J94" i="1" s="1"/>
  <c r="F94" i="1"/>
  <c r="I93" i="1"/>
  <c r="J93" i="1" s="1"/>
  <c r="F93" i="1"/>
  <c r="I92" i="1"/>
  <c r="J92" i="1" s="1"/>
  <c r="F92" i="1"/>
  <c r="G92" i="1" s="1"/>
  <c r="I91" i="1"/>
  <c r="J91" i="1" s="1"/>
  <c r="F91" i="1"/>
  <c r="G91" i="1" s="1"/>
  <c r="I90" i="1"/>
  <c r="J90" i="1" s="1"/>
  <c r="F90" i="1"/>
  <c r="G90" i="1" s="1"/>
  <c r="I89" i="1"/>
  <c r="J89" i="1" s="1"/>
  <c r="F89" i="1"/>
  <c r="G89" i="1" s="1"/>
  <c r="I88" i="1"/>
  <c r="J88" i="1" s="1"/>
  <c r="F88" i="1"/>
  <c r="G88" i="1" s="1"/>
  <c r="I87" i="1"/>
  <c r="J87" i="1" s="1"/>
  <c r="F87" i="1"/>
  <c r="G87" i="1" s="1"/>
  <c r="I81" i="1"/>
  <c r="J81" i="1" s="1"/>
  <c r="F81" i="1"/>
  <c r="I80" i="1"/>
  <c r="J80" i="1" s="1"/>
  <c r="F80" i="1"/>
  <c r="G80" i="1" s="1"/>
  <c r="I79" i="1"/>
  <c r="J79" i="1" s="1"/>
  <c r="F79" i="1"/>
  <c r="G79" i="1" s="1"/>
  <c r="I78" i="1"/>
  <c r="J78" i="1" s="1"/>
  <c r="F78" i="1"/>
  <c r="G78" i="1" s="1"/>
  <c r="I77" i="1"/>
  <c r="J77" i="1" s="1"/>
  <c r="F77" i="1"/>
  <c r="G77" i="1" s="1"/>
  <c r="I76" i="1"/>
  <c r="J76" i="1" s="1"/>
  <c r="F76" i="1"/>
  <c r="G76" i="1" s="1"/>
  <c r="J75" i="1"/>
  <c r="K75" i="1" s="1"/>
  <c r="I75" i="1"/>
  <c r="F75" i="1"/>
  <c r="G75" i="1" s="1"/>
  <c r="I74" i="1"/>
  <c r="J74" i="1" s="1"/>
  <c r="F74" i="1"/>
  <c r="G74" i="1" s="1"/>
  <c r="I73" i="1"/>
  <c r="J73" i="1" s="1"/>
  <c r="F73" i="1"/>
  <c r="I72" i="1"/>
  <c r="J72" i="1" s="1"/>
  <c r="F72" i="1"/>
  <c r="I71" i="1"/>
  <c r="J71" i="1" s="1"/>
  <c r="F71" i="1"/>
  <c r="I70" i="1"/>
  <c r="J70" i="1" s="1"/>
  <c r="F70" i="1"/>
  <c r="G70" i="1" s="1"/>
  <c r="I69" i="1"/>
  <c r="J69" i="1" s="1"/>
  <c r="K69" i="1" s="1"/>
  <c r="F69" i="1"/>
  <c r="G69" i="1" s="1"/>
  <c r="I68" i="1"/>
  <c r="J68" i="1" s="1"/>
  <c r="F68" i="1"/>
  <c r="G68" i="1" s="1"/>
  <c r="I67" i="1"/>
  <c r="J67" i="1" s="1"/>
  <c r="F67" i="1"/>
  <c r="G67" i="1" s="1"/>
  <c r="I66" i="1"/>
  <c r="J66" i="1" s="1"/>
  <c r="F66" i="1"/>
  <c r="G66" i="1" s="1"/>
  <c r="I65" i="1"/>
  <c r="J65" i="1" s="1"/>
  <c r="F65" i="1"/>
  <c r="G65" i="1" s="1"/>
  <c r="I64" i="1"/>
  <c r="J64" i="1" s="1"/>
  <c r="F64" i="1"/>
  <c r="G64" i="1" s="1"/>
  <c r="I58" i="1"/>
  <c r="J58" i="1" s="1"/>
  <c r="F58" i="1"/>
  <c r="G58" i="1" s="1"/>
  <c r="I57" i="1"/>
  <c r="J57" i="1" s="1"/>
  <c r="F57" i="1"/>
  <c r="G57" i="1" s="1"/>
  <c r="I56" i="1"/>
  <c r="J56" i="1" s="1"/>
  <c r="F56" i="1"/>
  <c r="G56" i="1" s="1"/>
  <c r="I55" i="1"/>
  <c r="J55" i="1" s="1"/>
  <c r="F55" i="1"/>
  <c r="I54" i="1"/>
  <c r="J54" i="1" s="1"/>
  <c r="F54" i="1"/>
  <c r="I53" i="1"/>
  <c r="J53" i="1" s="1"/>
  <c r="F53" i="1"/>
  <c r="G53" i="1" s="1"/>
  <c r="I52" i="1"/>
  <c r="J52" i="1" s="1"/>
  <c r="F52" i="1"/>
  <c r="G52" i="1" s="1"/>
  <c r="I51" i="1"/>
  <c r="J51" i="1" s="1"/>
  <c r="F51" i="1"/>
  <c r="G51" i="1" s="1"/>
  <c r="I50" i="1"/>
  <c r="J50" i="1" s="1"/>
  <c r="F50" i="1"/>
  <c r="G50" i="1" s="1"/>
  <c r="I49" i="1"/>
  <c r="J49" i="1" s="1"/>
  <c r="F49" i="1"/>
  <c r="G49" i="1" s="1"/>
  <c r="I48" i="1"/>
  <c r="J48" i="1" s="1"/>
  <c r="F48" i="1"/>
  <c r="G48" i="1" s="1"/>
  <c r="I47" i="1"/>
  <c r="J47" i="1" s="1"/>
  <c r="F47" i="1"/>
  <c r="G47" i="1" s="1"/>
  <c r="K52" i="1" l="1"/>
  <c r="K47" i="1"/>
  <c r="K117" i="1"/>
  <c r="K65" i="1"/>
  <c r="K136" i="1"/>
  <c r="K108" i="1"/>
  <c r="K79" i="1"/>
  <c r="K114" i="1"/>
  <c r="K56" i="1"/>
  <c r="K67" i="1"/>
  <c r="K129" i="1"/>
  <c r="K135" i="1"/>
  <c r="K128" i="1"/>
  <c r="K134" i="1"/>
  <c r="K125" i="1"/>
  <c r="K137" i="1"/>
  <c r="K126" i="1"/>
  <c r="K127" i="1"/>
  <c r="K109" i="1"/>
  <c r="K115" i="1"/>
  <c r="K110" i="1"/>
  <c r="K116" i="1"/>
  <c r="K111" i="1"/>
  <c r="K106" i="1"/>
  <c r="K118" i="1"/>
  <c r="K107" i="1"/>
  <c r="K88" i="1"/>
  <c r="K95" i="1"/>
  <c r="K89" i="1"/>
  <c r="K96" i="1"/>
  <c r="K90" i="1"/>
  <c r="K97" i="1"/>
  <c r="K91" i="1"/>
  <c r="K98" i="1"/>
  <c r="K87" i="1"/>
  <c r="K64" i="1"/>
  <c r="K76" i="1"/>
  <c r="K77" i="1"/>
  <c r="K66" i="1"/>
  <c r="K68" i="1"/>
  <c r="K70" i="1"/>
  <c r="K71" i="1"/>
  <c r="K78" i="1"/>
  <c r="K48" i="1"/>
  <c r="K51" i="1"/>
  <c r="K57" i="1"/>
  <c r="K58" i="1"/>
  <c r="I41" i="1"/>
  <c r="J41" i="1" s="1"/>
  <c r="F41" i="1"/>
  <c r="I40" i="1"/>
  <c r="J40" i="1" s="1"/>
  <c r="F40" i="1"/>
  <c r="G40" i="1" s="1"/>
  <c r="I39" i="1"/>
  <c r="J39" i="1" s="1"/>
  <c r="F39" i="1"/>
  <c r="G39" i="1" s="1"/>
  <c r="I38" i="1"/>
  <c r="J38" i="1" s="1"/>
  <c r="F38" i="1"/>
  <c r="G38" i="1" s="1"/>
  <c r="I37" i="1"/>
  <c r="J37" i="1" s="1"/>
  <c r="F37" i="1"/>
  <c r="I36" i="1"/>
  <c r="J36" i="1" s="1"/>
  <c r="F36" i="1"/>
  <c r="I35" i="1"/>
  <c r="J35" i="1" s="1"/>
  <c r="F35" i="1"/>
  <c r="I34" i="1"/>
  <c r="J34" i="1" s="1"/>
  <c r="F34" i="1"/>
  <c r="G34" i="1" s="1"/>
  <c r="I33" i="1"/>
  <c r="J33" i="1" s="1"/>
  <c r="F33" i="1"/>
  <c r="G33" i="1" s="1"/>
  <c r="I32" i="1"/>
  <c r="J32" i="1" s="1"/>
  <c r="F32" i="1"/>
  <c r="G32" i="1" s="1"/>
  <c r="I26" i="1"/>
  <c r="J26" i="1" s="1"/>
  <c r="F26" i="1"/>
  <c r="I25" i="1"/>
  <c r="J25" i="1" s="1"/>
  <c r="F25" i="1"/>
  <c r="G25" i="1" s="1"/>
  <c r="I24" i="1"/>
  <c r="J24" i="1" s="1"/>
  <c r="F24" i="1"/>
  <c r="G24" i="1" s="1"/>
  <c r="I23" i="1"/>
  <c r="J23" i="1" s="1"/>
  <c r="F23" i="1"/>
  <c r="I22" i="1"/>
  <c r="J22" i="1" s="1"/>
  <c r="F22" i="1"/>
  <c r="I21" i="1"/>
  <c r="J21" i="1" s="1"/>
  <c r="F21" i="1"/>
  <c r="G21" i="1" s="1"/>
  <c r="K39" i="1" l="1"/>
  <c r="K40" i="1"/>
  <c r="K34" i="1"/>
  <c r="K37" i="1"/>
  <c r="K32" i="1"/>
  <c r="K38" i="1"/>
  <c r="K33" i="1"/>
  <c r="K24" i="1"/>
  <c r="K25" i="1"/>
  <c r="K21" i="1"/>
</calcChain>
</file>

<file path=xl/sharedStrings.xml><?xml version="1.0" encoding="utf-8"?>
<sst xmlns="http://schemas.openxmlformats.org/spreadsheetml/2006/main" count="650" uniqueCount="153">
  <si>
    <t>ZONE</t>
  </si>
  <si>
    <t>BUREAUX</t>
  </si>
  <si>
    <t>SALLE DE REUNION</t>
  </si>
  <si>
    <t>DIMMENTIONNEMENT DES PIQUAGES</t>
  </si>
  <si>
    <t>Localisation</t>
  </si>
  <si>
    <t>Piece</t>
  </si>
  <si>
    <t>Nbr de 
VC</t>
  </si>
  <si>
    <t>Surface
(m²)</t>
  </si>
  <si>
    <t>Nbr de 
personne</t>
  </si>
  <si>
    <r>
      <t>Débit
(m</t>
    </r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/h)</t>
    </r>
  </si>
  <si>
    <r>
      <t>Débit total zone
(m</t>
    </r>
    <r>
      <rPr>
        <b/>
        <vertAlign val="superscript"/>
        <sz val="11"/>
        <color theme="1"/>
        <rFont val="Aptos Narrow"/>
        <family val="2"/>
        <scheme val="minor"/>
      </rPr>
      <t>3</t>
    </r>
    <r>
      <rPr>
        <b/>
        <sz val="11"/>
        <color theme="1"/>
        <rFont val="Aptos Narrow"/>
        <family val="2"/>
        <scheme val="minor"/>
      </rPr>
      <t>/h)</t>
    </r>
  </si>
  <si>
    <t>Dimension Gaine
(mm)</t>
  </si>
  <si>
    <t>Vitesse 
(m/s)</t>
  </si>
  <si>
    <t>Perte de charge 
(Pa/m)</t>
  </si>
  <si>
    <t>RDQ</t>
  </si>
  <si>
    <t>Rue Lafayette</t>
  </si>
  <si>
    <t>L-RDQ-11</t>
  </si>
  <si>
    <t>Circulation Lafayette</t>
  </si>
  <si>
    <t>Rue d'Alsace</t>
  </si>
  <si>
    <t>Palier</t>
  </si>
  <si>
    <t>L-RDQ-03</t>
  </si>
  <si>
    <t>L-RDQ-03 bis</t>
  </si>
  <si>
    <t>Circulation Alsace</t>
  </si>
  <si>
    <t xml:space="preserve">Hypothèse de calcul : </t>
  </si>
  <si>
    <t xml:space="preserve">50 Alsace </t>
  </si>
  <si>
    <t>ES1</t>
  </si>
  <si>
    <t>L-ES1-12</t>
  </si>
  <si>
    <t>L-ES1-13</t>
  </si>
  <si>
    <t>L-ES1-15</t>
  </si>
  <si>
    <t>Tisanerie</t>
  </si>
  <si>
    <t>L-ES1_07</t>
  </si>
  <si>
    <t>L-ES1-06</t>
  </si>
  <si>
    <t>L-ES1-05</t>
  </si>
  <si>
    <t>ES2</t>
  </si>
  <si>
    <t>bureaux</t>
  </si>
  <si>
    <t>bur sdr 10</t>
  </si>
  <si>
    <t>bur sdr 12</t>
  </si>
  <si>
    <t>bur sdr 8</t>
  </si>
  <si>
    <t>L-ES2-12</t>
  </si>
  <si>
    <t>L-ES2-11</t>
  </si>
  <si>
    <t>L-ES2-06</t>
  </si>
  <si>
    <t>Un bureau est une ou plusieurs SDR</t>
  </si>
  <si>
    <t>RDC</t>
  </si>
  <si>
    <t>SDR 18</t>
  </si>
  <si>
    <t>SDR 20</t>
  </si>
  <si>
    <t>SDR 26</t>
  </si>
  <si>
    <t>Flex off</t>
  </si>
  <si>
    <t>Palier 2</t>
  </si>
  <si>
    <t>Palier 1</t>
  </si>
  <si>
    <t>L-00-11</t>
  </si>
  <si>
    <t>L-00-17</t>
  </si>
  <si>
    <t>L-00-15</t>
  </si>
  <si>
    <t>L-00-13</t>
  </si>
  <si>
    <t>SDR 16</t>
  </si>
  <si>
    <t>L-00-14</t>
  </si>
  <si>
    <t>R+1</t>
  </si>
  <si>
    <t>Bur</t>
  </si>
  <si>
    <t>SDR 10</t>
  </si>
  <si>
    <t>SDR 8</t>
  </si>
  <si>
    <t>L-01-10</t>
  </si>
  <si>
    <t>L-01-10 bis</t>
  </si>
  <si>
    <t>L-01-07</t>
  </si>
  <si>
    <t>L-01-06</t>
  </si>
  <si>
    <t>R+2</t>
  </si>
  <si>
    <t>L-02-07</t>
  </si>
  <si>
    <t>L-02-10</t>
  </si>
  <si>
    <t>L-02-10 bis</t>
  </si>
  <si>
    <t>L-02-06</t>
  </si>
  <si>
    <t>R+3</t>
  </si>
  <si>
    <t>SMB</t>
  </si>
  <si>
    <t>BUR</t>
  </si>
  <si>
    <t>SDR</t>
  </si>
  <si>
    <t>L-03-11</t>
  </si>
  <si>
    <t>L-03-10</t>
  </si>
  <si>
    <t>L-03-07</t>
  </si>
  <si>
    <t>1</t>
  </si>
  <si>
    <t>Type</t>
  </si>
  <si>
    <t>Bouche</t>
  </si>
  <si>
    <t>Nbr de 
piquage</t>
  </si>
  <si>
    <t>WC</t>
  </si>
  <si>
    <t>Alsace</t>
  </si>
  <si>
    <t>LAV</t>
  </si>
  <si>
    <t>PMR</t>
  </si>
  <si>
    <t>Lav</t>
  </si>
  <si>
    <t xml:space="preserve"> rajouter une case pour tisanerie et locale menage </t>
  </si>
  <si>
    <t>WC-ES1-20</t>
  </si>
  <si>
    <t>WC-ES1-21</t>
  </si>
  <si>
    <t xml:space="preserve">Lafayette </t>
  </si>
  <si>
    <t>WC-ES1-04</t>
  </si>
  <si>
    <t>WC-ES1-05</t>
  </si>
  <si>
    <t>WC-ES1-06</t>
  </si>
  <si>
    <t>Caisson</t>
  </si>
  <si>
    <t>Noyau</t>
  </si>
  <si>
    <t xml:space="preserve">SANITAIRE et/ou Autre </t>
  </si>
  <si>
    <t>VMC02</t>
  </si>
  <si>
    <t>PMR-ES1-07</t>
  </si>
  <si>
    <t>TOTAL Sanitaire et/ou autre</t>
  </si>
  <si>
    <t>VMC01</t>
  </si>
  <si>
    <t>PMR-ES1-11</t>
  </si>
  <si>
    <t>WC-ES1-08</t>
  </si>
  <si>
    <t>WC-ES1-09</t>
  </si>
  <si>
    <t>WC-ES1-10</t>
  </si>
  <si>
    <t>Local</t>
  </si>
  <si>
    <t>PMR-RDQ-17</t>
  </si>
  <si>
    <t>PMR-RDQ-18</t>
  </si>
  <si>
    <t>PMR-RDQ-05</t>
  </si>
  <si>
    <t>PMR-RDQ-06</t>
  </si>
  <si>
    <t>rue lafayete</t>
  </si>
  <si>
    <t>L-ES2-14</t>
  </si>
  <si>
    <t>Att.Tisanerie</t>
  </si>
  <si>
    <t>Loca_mén</t>
  </si>
  <si>
    <t>local</t>
  </si>
  <si>
    <t>P-ES2-06</t>
  </si>
  <si>
    <t>P-ES2-07</t>
  </si>
  <si>
    <t>P-ES2-08</t>
  </si>
  <si>
    <t>P-ES2-09</t>
  </si>
  <si>
    <t>rue alsace</t>
  </si>
  <si>
    <t>P-ES2-10</t>
  </si>
  <si>
    <t>P-ES2-11</t>
  </si>
  <si>
    <t>P-ES2-12</t>
  </si>
  <si>
    <t>P-ES2-13</t>
  </si>
  <si>
    <t>lav</t>
  </si>
  <si>
    <t>P-00-05</t>
  </si>
  <si>
    <t>P-00-06</t>
  </si>
  <si>
    <t>P-00-07</t>
  </si>
  <si>
    <t xml:space="preserve">Rue d'Alsace </t>
  </si>
  <si>
    <t>P-00-08</t>
  </si>
  <si>
    <t>P-00-09</t>
  </si>
  <si>
    <t>P-00-10</t>
  </si>
  <si>
    <t>Att. Tis</t>
  </si>
  <si>
    <t>tisanerie</t>
  </si>
  <si>
    <t>R +1 et R +2</t>
  </si>
  <si>
    <t>P-02-06</t>
  </si>
  <si>
    <t>P-02-07</t>
  </si>
  <si>
    <t>P-02-08</t>
  </si>
  <si>
    <t>P-02-09</t>
  </si>
  <si>
    <t>P-02-10</t>
  </si>
  <si>
    <t>P-02-11</t>
  </si>
  <si>
    <t>P-02-12</t>
  </si>
  <si>
    <t>P-02-13</t>
  </si>
  <si>
    <t>Loc</t>
  </si>
  <si>
    <t>tisan</t>
  </si>
  <si>
    <t>R +3</t>
  </si>
  <si>
    <t>P-03-08</t>
  </si>
  <si>
    <t>P-03-09</t>
  </si>
  <si>
    <t>P-03-10</t>
  </si>
  <si>
    <t>P-03-11</t>
  </si>
  <si>
    <t>P-03-12</t>
  </si>
  <si>
    <t>P-03-13</t>
  </si>
  <si>
    <t>P-03-14</t>
  </si>
  <si>
    <t>P-03-15</t>
  </si>
  <si>
    <t>att. Tisan</t>
  </si>
  <si>
    <t>att tisan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</si>
</sst>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perscript"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b/>
      <sz val="14"/>
      <color rgb="FF305496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3ABAB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CC9FB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 style="medium">
        <color indexed="64"/>
      </right>
      <top style="medium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theme="1"/>
      </top>
      <bottom style="medium">
        <color indexed="64"/>
      </bottom>
      <diagonal/>
    </border>
    <border>
      <left/>
      <right style="medium">
        <color theme="1"/>
      </right>
      <top style="medium">
        <color theme="1"/>
      </top>
      <bottom style="medium">
        <color indexed="64"/>
      </bottom>
      <diagonal/>
    </border>
    <border>
      <left style="medium">
        <color theme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theme="1"/>
      </right>
      <top style="medium">
        <color indexed="64"/>
      </top>
      <bottom/>
      <diagonal/>
    </border>
    <border>
      <left style="medium">
        <color theme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 diagonalDown="1"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dotted">
        <color indexed="64"/>
      </diagonal>
    </border>
    <border diagonalDown="1"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 style="dotted">
        <color indexed="64"/>
      </diagonal>
    </border>
    <border diagonalDown="1"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 style="dotted">
        <color indexed="64"/>
      </diagonal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1"/>
      </right>
      <top style="medium">
        <color indexed="64"/>
      </top>
      <bottom style="thin">
        <color indexed="64"/>
      </bottom>
      <diagonal/>
    </border>
    <border>
      <left style="medium">
        <color theme="1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 diagonalDown="1"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dotted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indexed="64"/>
      </right>
      <top/>
      <bottom style="medium">
        <color theme="1"/>
      </bottom>
      <diagonal/>
    </border>
    <border diagonalDown="1">
      <left style="medium">
        <color indexed="64"/>
      </left>
      <right style="thin">
        <color indexed="64"/>
      </right>
      <top style="thin">
        <color indexed="64"/>
      </top>
      <bottom style="medium">
        <color theme="1"/>
      </bottom>
      <diagonal style="dotted"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305496"/>
      </left>
      <right/>
      <top style="medium">
        <color rgb="FF305496"/>
      </top>
      <bottom/>
      <diagonal/>
    </border>
    <border>
      <left/>
      <right/>
      <top style="medium">
        <color rgb="FF305496"/>
      </top>
      <bottom style="medium">
        <color rgb="FFE20025"/>
      </bottom>
      <diagonal/>
    </border>
    <border>
      <left/>
      <right style="medium">
        <color rgb="FFE20025"/>
      </right>
      <top style="medium">
        <color rgb="FF305496"/>
      </top>
      <bottom style="medium">
        <color rgb="FFE20025"/>
      </bottom>
      <diagonal/>
    </border>
    <border diagonalDown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dotted"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theme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" fillId="2" borderId="8" xfId="0" applyFont="1" applyFill="1" applyBorder="1" applyAlignment="1" applyProtection="1">
      <alignment horizontal="center" vertical="center"/>
      <protection locked="0"/>
    </xf>
    <xf numFmtId="0" fontId="1" fillId="2" borderId="8" xfId="0" applyFont="1" applyFill="1" applyBorder="1" applyAlignment="1" applyProtection="1">
      <alignment horizontal="center" vertical="center" wrapText="1"/>
      <protection locked="0"/>
    </xf>
    <xf numFmtId="2" fontId="1" fillId="3" borderId="9" xfId="0" applyNumberFormat="1" applyFont="1" applyFill="1" applyBorder="1" applyAlignment="1" applyProtection="1">
      <alignment horizontal="center" vertical="center" wrapText="1"/>
      <protection locked="0"/>
    </xf>
    <xf numFmtId="2" fontId="1" fillId="4" borderId="9" xfId="0" applyNumberFormat="1" applyFont="1" applyFill="1" applyBorder="1" applyAlignment="1" applyProtection="1">
      <alignment horizontal="center" vertical="center" wrapText="1"/>
      <protection locked="0"/>
    </xf>
    <xf numFmtId="2" fontId="1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1" fillId="5" borderId="10" xfId="0" applyFont="1" applyFill="1" applyBorder="1" applyAlignment="1" applyProtection="1">
      <alignment horizontal="center" vertical="center" wrapText="1"/>
      <protection locked="0"/>
    </xf>
    <xf numFmtId="0" fontId="1" fillId="5" borderId="11" xfId="0" applyFont="1" applyFill="1" applyBorder="1" applyAlignment="1" applyProtection="1">
      <alignment horizontal="center" vertical="center" wrapText="1"/>
      <protection locked="0"/>
    </xf>
    <xf numFmtId="0" fontId="1" fillId="5" borderId="12" xfId="0" applyFont="1" applyFill="1" applyBorder="1" applyAlignment="1" applyProtection="1">
      <alignment horizontal="center" vertical="center" wrapText="1"/>
      <protection locked="0"/>
    </xf>
    <xf numFmtId="49" fontId="0" fillId="2" borderId="14" xfId="0" applyNumberFormat="1" applyFill="1" applyBorder="1" applyAlignment="1" applyProtection="1">
      <alignment horizontal="center" vertical="center"/>
      <protection locked="0"/>
    </xf>
    <xf numFmtId="49" fontId="0" fillId="2" borderId="15" xfId="0" applyNumberFormat="1" applyFill="1" applyBorder="1" applyAlignment="1" applyProtection="1">
      <alignment horizontal="center" vertical="center"/>
      <protection locked="0"/>
    </xf>
    <xf numFmtId="2" fontId="0" fillId="3" borderId="16" xfId="0" applyNumberFormat="1" applyFill="1" applyBorder="1" applyAlignment="1" applyProtection="1">
      <alignment horizontal="center" vertical="center"/>
      <protection locked="0"/>
    </xf>
    <xf numFmtId="2" fontId="0" fillId="3" borderId="17" xfId="0" applyNumberFormat="1" applyFill="1" applyBorder="1" applyAlignment="1" applyProtection="1">
      <alignment horizontal="center" vertical="center"/>
      <protection locked="0"/>
    </xf>
    <xf numFmtId="2" fontId="0" fillId="3" borderId="18" xfId="0" applyNumberFormat="1" applyFill="1" applyBorder="1" applyAlignment="1" applyProtection="1">
      <alignment horizontal="center" vertical="center"/>
      <protection locked="0"/>
    </xf>
    <xf numFmtId="2" fontId="0" fillId="4" borderId="14" xfId="0" applyNumberFormat="1" applyFill="1" applyBorder="1" applyAlignment="1" applyProtection="1">
      <alignment horizontal="center" vertical="center"/>
      <protection locked="0"/>
    </xf>
    <xf numFmtId="1" fontId="3" fillId="2" borderId="19" xfId="0" applyNumberFormat="1" applyFont="1" applyFill="1" applyBorder="1" applyAlignment="1" applyProtection="1">
      <alignment horizontal="center" vertical="center"/>
      <protection locked="0"/>
    </xf>
    <xf numFmtId="0" fontId="0" fillId="5" borderId="14" xfId="0" applyFill="1" applyBorder="1" applyAlignment="1">
      <alignment horizontal="center" vertical="center"/>
    </xf>
    <xf numFmtId="2" fontId="0" fillId="5" borderId="20" xfId="0" applyNumberFormat="1" applyFill="1" applyBorder="1" applyAlignment="1">
      <alignment horizontal="center" vertical="center"/>
    </xf>
    <xf numFmtId="2" fontId="0" fillId="5" borderId="21" xfId="0" applyNumberFormat="1" applyFill="1" applyBorder="1" applyAlignment="1">
      <alignment horizontal="center" vertical="center"/>
    </xf>
    <xf numFmtId="2" fontId="0" fillId="3" borderId="25" xfId="0" applyNumberFormat="1" applyFill="1" applyBorder="1" applyAlignment="1" applyProtection="1">
      <alignment horizontal="center" vertical="center"/>
      <protection locked="0"/>
    </xf>
    <xf numFmtId="0" fontId="0" fillId="5" borderId="26" xfId="0" applyFill="1" applyBorder="1" applyAlignment="1">
      <alignment horizontal="center" vertical="center"/>
    </xf>
    <xf numFmtId="2" fontId="0" fillId="5" borderId="27" xfId="0" applyNumberFormat="1" applyFill="1" applyBorder="1" applyAlignment="1">
      <alignment horizontal="center" vertical="center"/>
    </xf>
    <xf numFmtId="49" fontId="0" fillId="2" borderId="26" xfId="0" applyNumberFormat="1" applyFill="1" applyBorder="1" applyAlignment="1" applyProtection="1">
      <alignment horizontal="center" vertical="center"/>
      <protection locked="0"/>
    </xf>
    <xf numFmtId="2" fontId="0" fillId="3" borderId="29" xfId="0" applyNumberFormat="1" applyFill="1" applyBorder="1" applyAlignment="1" applyProtection="1">
      <alignment horizontal="center" vertical="center"/>
      <protection locked="0"/>
    </xf>
    <xf numFmtId="0" fontId="0" fillId="5" borderId="30" xfId="0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2" fontId="0" fillId="4" borderId="30" xfId="0" applyNumberFormat="1" applyFill="1" applyBorder="1" applyAlignment="1" applyProtection="1">
      <alignment horizontal="center" vertical="center"/>
      <protection locked="0"/>
    </xf>
    <xf numFmtId="2" fontId="0" fillId="3" borderId="36" xfId="0" applyNumberFormat="1" applyFill="1" applyBorder="1" applyAlignment="1" applyProtection="1">
      <alignment horizontal="center" vertical="center"/>
      <protection locked="0"/>
    </xf>
    <xf numFmtId="2" fontId="1" fillId="6" borderId="9" xfId="0" applyNumberFormat="1" applyFont="1" applyFill="1" applyBorder="1" applyAlignment="1" applyProtection="1">
      <alignment horizontal="center" vertical="center" wrapText="1"/>
      <protection locked="0"/>
    </xf>
    <xf numFmtId="0" fontId="1" fillId="7" borderId="10" xfId="0" applyFont="1" applyFill="1" applyBorder="1" applyAlignment="1" applyProtection="1">
      <alignment horizontal="center" vertical="center" wrapText="1"/>
      <protection locked="0"/>
    </xf>
    <xf numFmtId="0" fontId="1" fillId="7" borderId="11" xfId="0" applyFont="1" applyFill="1" applyBorder="1" applyAlignment="1" applyProtection="1">
      <alignment horizontal="center" vertical="center" wrapText="1"/>
      <protection locked="0"/>
    </xf>
    <xf numFmtId="0" fontId="1" fillId="7" borderId="12" xfId="0" applyFont="1" applyFill="1" applyBorder="1" applyAlignment="1" applyProtection="1">
      <alignment horizontal="center" vertical="center" wrapText="1"/>
      <protection locked="0"/>
    </xf>
    <xf numFmtId="2" fontId="0" fillId="6" borderId="14" xfId="0" applyNumberFormat="1" applyFill="1" applyBorder="1" applyAlignment="1" applyProtection="1">
      <alignment horizontal="center" vertical="center"/>
      <protection locked="0"/>
    </xf>
    <xf numFmtId="1" fontId="0" fillId="6" borderId="20" xfId="0" applyNumberFormat="1" applyFill="1" applyBorder="1" applyAlignment="1" applyProtection="1">
      <alignment horizontal="center" vertical="center"/>
      <protection locked="0"/>
    </xf>
    <xf numFmtId="1" fontId="0" fillId="6" borderId="37" xfId="0" applyNumberFormat="1" applyFill="1" applyBorder="1" applyAlignment="1" applyProtection="1">
      <alignment horizontal="center" vertical="center"/>
      <protection locked="0"/>
    </xf>
    <xf numFmtId="0" fontId="0" fillId="7" borderId="14" xfId="0" applyFill="1" applyBorder="1" applyAlignment="1" applyProtection="1">
      <alignment horizontal="center" vertical="center"/>
      <protection locked="0"/>
    </xf>
    <xf numFmtId="2" fontId="0" fillId="7" borderId="20" xfId="0" applyNumberFormat="1" applyFill="1" applyBorder="1" applyAlignment="1">
      <alignment horizontal="center" vertical="center"/>
    </xf>
    <xf numFmtId="2" fontId="0" fillId="7" borderId="21" xfId="0" applyNumberFormat="1" applyFill="1" applyBorder="1" applyAlignment="1">
      <alignment horizontal="center" vertical="center"/>
    </xf>
    <xf numFmtId="2" fontId="0" fillId="6" borderId="26" xfId="0" applyNumberFormat="1" applyFill="1" applyBorder="1" applyAlignment="1" applyProtection="1">
      <alignment horizontal="center" vertical="center"/>
      <protection locked="0"/>
    </xf>
    <xf numFmtId="2" fontId="1" fillId="2" borderId="41" xfId="0" applyNumberFormat="1" applyFont="1" applyFill="1" applyBorder="1" applyAlignment="1" applyProtection="1">
      <alignment horizontal="center" vertical="center"/>
      <protection locked="0"/>
    </xf>
    <xf numFmtId="1" fontId="1" fillId="2" borderId="41" xfId="0" applyNumberFormat="1" applyFont="1" applyFill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42" xfId="0" applyFont="1" applyBorder="1" applyAlignment="1">
      <alignment horizontal="center" vertical="center"/>
    </xf>
    <xf numFmtId="1" fontId="3" fillId="2" borderId="43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1" fontId="1" fillId="2" borderId="4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Alignment="1" applyProtection="1">
      <alignment horizontal="center" vertical="center" textRotation="90"/>
      <protection locked="0"/>
    </xf>
    <xf numFmtId="0" fontId="1" fillId="2" borderId="6" xfId="0" applyFont="1" applyFill="1" applyBorder="1" applyAlignment="1" applyProtection="1">
      <alignment horizontal="center" vertical="center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1" fillId="2" borderId="13" xfId="0" applyFont="1" applyFill="1" applyBorder="1" applyAlignment="1" applyProtection="1">
      <alignment horizontal="center" vertical="center" textRotation="90"/>
      <protection locked="0"/>
    </xf>
    <xf numFmtId="0" fontId="1" fillId="2" borderId="22" xfId="0" applyFont="1" applyFill="1" applyBorder="1" applyAlignment="1" applyProtection="1">
      <alignment horizontal="center" vertical="center" textRotation="90"/>
      <protection locked="0"/>
    </xf>
    <xf numFmtId="0" fontId="1" fillId="2" borderId="28" xfId="0" applyFont="1" applyFill="1" applyBorder="1" applyAlignment="1" applyProtection="1">
      <alignment horizontal="center" vertical="center" textRotation="90"/>
      <protection locked="0"/>
    </xf>
    <xf numFmtId="49" fontId="0" fillId="2" borderId="23" xfId="0" applyNumberFormat="1" applyFill="1" applyBorder="1" applyAlignment="1" applyProtection="1">
      <alignment horizontal="center" vertical="center"/>
      <protection locked="0"/>
    </xf>
    <xf numFmtId="49" fontId="0" fillId="2" borderId="24" xfId="0" applyNumberFormat="1" applyFill="1" applyBorder="1" applyAlignment="1" applyProtection="1">
      <alignment horizontal="center" vertical="center"/>
      <protection locked="0"/>
    </xf>
    <xf numFmtId="0" fontId="4" fillId="0" borderId="27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5" fillId="0" borderId="33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3" borderId="4" xfId="0" applyFont="1" applyFill="1" applyBorder="1" applyAlignment="1" applyProtection="1">
      <alignment horizontal="center" vertical="center"/>
      <protection locked="0"/>
    </xf>
    <xf numFmtId="0" fontId="1" fillId="3" borderId="2" xfId="0" applyFont="1" applyFill="1" applyBorder="1" applyAlignment="1" applyProtection="1">
      <alignment horizontal="center" vertical="center"/>
      <protection locked="0"/>
    </xf>
    <xf numFmtId="0" fontId="1" fillId="3" borderId="3" xfId="0" applyFont="1" applyFill="1" applyBorder="1" applyAlignment="1" applyProtection="1">
      <alignment horizontal="center" vertical="center"/>
      <protection locked="0"/>
    </xf>
    <xf numFmtId="0" fontId="1" fillId="4" borderId="4" xfId="0" applyFont="1" applyFill="1" applyBorder="1" applyAlignment="1" applyProtection="1">
      <alignment horizontal="center" vertical="center"/>
      <protection locked="0"/>
    </xf>
    <xf numFmtId="0" fontId="1" fillId="4" borderId="2" xfId="0" applyFont="1" applyFill="1" applyBorder="1" applyAlignment="1" applyProtection="1">
      <alignment horizontal="center" vertical="center"/>
      <protection locked="0"/>
    </xf>
    <xf numFmtId="0" fontId="1" fillId="4" borderId="3" xfId="0" applyFont="1" applyFill="1" applyBorder="1" applyAlignment="1" applyProtection="1">
      <alignment horizontal="center" vertical="center"/>
      <protection locked="0"/>
    </xf>
    <xf numFmtId="0" fontId="1" fillId="5" borderId="4" xfId="0" applyFont="1" applyFill="1" applyBorder="1" applyAlignment="1" applyProtection="1">
      <alignment horizontal="center" vertical="center"/>
      <protection locked="0"/>
    </xf>
    <xf numFmtId="0" fontId="1" fillId="5" borderId="2" xfId="0" applyFont="1" applyFill="1" applyBorder="1" applyAlignment="1" applyProtection="1">
      <alignment horizontal="center" vertical="center"/>
      <protection locked="0"/>
    </xf>
    <xf numFmtId="0" fontId="1" fillId="5" borderId="5" xfId="0" applyFont="1" applyFill="1" applyBorder="1" applyAlignment="1" applyProtection="1">
      <alignment horizontal="center" vertical="center"/>
      <protection locked="0"/>
    </xf>
    <xf numFmtId="0" fontId="1" fillId="2" borderId="38" xfId="0" applyFont="1" applyFill="1" applyBorder="1" applyAlignment="1" applyProtection="1">
      <alignment horizontal="center" vertical="center"/>
      <protection locked="0"/>
    </xf>
    <xf numFmtId="0" fontId="1" fillId="2" borderId="39" xfId="0" applyFont="1" applyFill="1" applyBorder="1" applyAlignment="1" applyProtection="1">
      <alignment horizontal="center" vertical="center"/>
      <protection locked="0"/>
    </xf>
    <xf numFmtId="0" fontId="1" fillId="2" borderId="40" xfId="0" applyFont="1" applyFill="1" applyBorder="1" applyAlignment="1" applyProtection="1">
      <alignment horizontal="center" vertical="center"/>
      <protection locked="0"/>
    </xf>
    <xf numFmtId="0" fontId="1" fillId="6" borderId="4" xfId="0" applyFont="1" applyFill="1" applyBorder="1" applyAlignment="1" applyProtection="1">
      <alignment horizontal="center" vertical="center"/>
      <protection locked="0"/>
    </xf>
    <xf numFmtId="0" fontId="1" fillId="6" borderId="2" xfId="0" applyFont="1" applyFill="1" applyBorder="1" applyAlignment="1" applyProtection="1">
      <alignment horizontal="center" vertical="center"/>
      <protection locked="0"/>
    </xf>
    <xf numFmtId="0" fontId="1" fillId="6" borderId="3" xfId="0" applyFont="1" applyFill="1" applyBorder="1" applyAlignment="1" applyProtection="1">
      <alignment horizontal="center" vertical="center"/>
      <protection locked="0"/>
    </xf>
    <xf numFmtId="0" fontId="1" fillId="7" borderId="4" xfId="0" applyFont="1" applyFill="1" applyBorder="1" applyAlignment="1" applyProtection="1">
      <alignment horizontal="center" vertical="center"/>
      <protection locked="0"/>
    </xf>
    <xf numFmtId="0" fontId="1" fillId="7" borderId="2" xfId="0" applyFont="1" applyFill="1" applyBorder="1" applyAlignment="1" applyProtection="1">
      <alignment horizontal="center" vertical="center"/>
      <protection locked="0"/>
    </xf>
    <xf numFmtId="0" fontId="1" fillId="7" borderId="5" xfId="0" applyFont="1" applyFill="1" applyBorder="1" applyAlignment="1" applyProtection="1">
      <alignment horizontal="center" vertical="center"/>
      <protection locked="0"/>
    </xf>
    <xf numFmtId="0" fontId="1" fillId="2" borderId="45" xfId="0" applyFont="1" applyFill="1" applyBorder="1" applyAlignment="1" applyProtection="1">
      <alignment horizontal="center" vertical="center"/>
      <protection locked="0"/>
    </xf>
    <xf numFmtId="0" fontId="1" fillId="2" borderId="46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</xdr:colOff>
      <xdr:row>0</xdr:row>
      <xdr:rowOff>0</xdr:rowOff>
    </xdr:from>
    <xdr:to>
      <xdr:col>3</xdr:col>
      <xdr:colOff>428312</xdr:colOff>
      <xdr:row>9</xdr:row>
      <xdr:rowOff>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59A44A62-F89B-4AD9-A56B-C887DC5FF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199" y="0"/>
          <a:ext cx="2961963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3042C-D50A-466B-951F-A60EB4BCF46E}">
  <dimension ref="A11:R138"/>
  <sheetViews>
    <sheetView tabSelected="1" topLeftCell="A97" zoomScale="115" zoomScaleNormal="115" workbookViewId="0">
      <selection activeCell="C22" sqref="C22:D22"/>
    </sheetView>
  </sheetViews>
  <sheetFormatPr baseColWidth="10" defaultRowHeight="15" x14ac:dyDescent="0.25"/>
  <cols>
    <col min="2" max="2" width="14.85546875" customWidth="1"/>
    <col min="3" max="3" width="12.85546875" customWidth="1"/>
    <col min="15" max="15" width="42.42578125" customWidth="1"/>
  </cols>
  <sheetData>
    <row r="11" spans="1:18" ht="15.75" thickBot="1" x14ac:dyDescent="0.3"/>
    <row r="12" spans="1:18" ht="19.5" thickBot="1" x14ac:dyDescent="0.3">
      <c r="C12" s="62" t="s">
        <v>24</v>
      </c>
      <c r="D12" s="63"/>
      <c r="E12" s="63"/>
      <c r="F12" s="63"/>
      <c r="G12" s="63"/>
      <c r="H12" s="63"/>
      <c r="I12" s="63"/>
      <c r="J12" s="63"/>
      <c r="K12" s="63"/>
      <c r="L12" s="63"/>
      <c r="M12" s="64"/>
    </row>
    <row r="15" spans="1:18" x14ac:dyDescent="0.25">
      <c r="A15" s="2"/>
      <c r="B15" s="2"/>
      <c r="C15" s="2"/>
      <c r="D15" s="1"/>
      <c r="E15" s="2"/>
      <c r="F15" s="2"/>
      <c r="G15" s="2"/>
      <c r="H15" s="1"/>
      <c r="I15" s="2"/>
      <c r="J15" s="2"/>
      <c r="K15" s="2"/>
      <c r="L15" s="1"/>
      <c r="M15" s="1"/>
      <c r="N15" s="1"/>
      <c r="O15" s="1"/>
      <c r="P15" s="1"/>
      <c r="Q15" s="1"/>
      <c r="R15" s="1"/>
    </row>
    <row r="16" spans="1:18" ht="15.75" x14ac:dyDescent="0.25">
      <c r="A16" s="58" t="s">
        <v>23</v>
      </c>
      <c r="B16" s="59"/>
      <c r="C16" s="60" t="s">
        <v>41</v>
      </c>
      <c r="D16" s="61"/>
      <c r="E16" s="61"/>
      <c r="F16" s="61"/>
      <c r="G16" s="61"/>
      <c r="H16" s="61"/>
      <c r="I16" s="61"/>
      <c r="J16" s="61"/>
      <c r="K16" s="61"/>
      <c r="L16" s="61"/>
      <c r="M16" s="58"/>
      <c r="N16" s="58"/>
      <c r="O16" s="1"/>
      <c r="P16" s="1"/>
      <c r="Q16" s="1"/>
      <c r="R16" s="1"/>
    </row>
    <row r="17" spans="1:18" ht="15.75" x14ac:dyDescent="0.25">
      <c r="A17" s="27"/>
      <c r="B17" s="27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7"/>
      <c r="N17" s="27"/>
      <c r="O17" s="1"/>
      <c r="P17" s="1"/>
      <c r="Q17" s="1"/>
      <c r="R17" s="1"/>
    </row>
    <row r="18" spans="1:18" ht="16.5" thickBot="1" x14ac:dyDescent="0.3">
      <c r="A18" s="27"/>
      <c r="B18" s="27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7"/>
      <c r="N18" s="27"/>
      <c r="O18" s="1"/>
      <c r="P18" s="1"/>
      <c r="Q18" s="1"/>
      <c r="R18" s="1"/>
    </row>
    <row r="19" spans="1:18" ht="15.75" thickBot="1" x14ac:dyDescent="0.3">
      <c r="A19" s="65" t="s">
        <v>0</v>
      </c>
      <c r="B19" s="66"/>
      <c r="C19" s="66"/>
      <c r="D19" s="67"/>
      <c r="E19" s="68" t="s">
        <v>1</v>
      </c>
      <c r="F19" s="69"/>
      <c r="G19" s="70"/>
      <c r="H19" s="71" t="s">
        <v>2</v>
      </c>
      <c r="I19" s="72"/>
      <c r="J19" s="73"/>
      <c r="K19" s="74" t="s">
        <v>3</v>
      </c>
      <c r="L19" s="75"/>
      <c r="M19" s="75"/>
      <c r="N19" s="76"/>
    </row>
    <row r="20" spans="1:18" ht="47.25" thickBot="1" x14ac:dyDescent="0.3">
      <c r="A20" s="51" t="s">
        <v>4</v>
      </c>
      <c r="B20" s="52"/>
      <c r="C20" s="3" t="s">
        <v>5</v>
      </c>
      <c r="D20" s="4" t="s">
        <v>6</v>
      </c>
      <c r="E20" s="5" t="s">
        <v>7</v>
      </c>
      <c r="F20" s="5" t="s">
        <v>8</v>
      </c>
      <c r="G20" s="5" t="s">
        <v>9</v>
      </c>
      <c r="H20" s="6" t="s">
        <v>7</v>
      </c>
      <c r="I20" s="6" t="s">
        <v>8</v>
      </c>
      <c r="J20" s="6" t="s">
        <v>9</v>
      </c>
      <c r="K20" s="7" t="s">
        <v>10</v>
      </c>
      <c r="L20" s="8" t="s">
        <v>11</v>
      </c>
      <c r="M20" s="9" t="s">
        <v>12</v>
      </c>
      <c r="N20" s="10" t="s">
        <v>13</v>
      </c>
    </row>
    <row r="21" spans="1:18" ht="15.75" thickBot="1" x14ac:dyDescent="0.3">
      <c r="A21" s="53" t="s">
        <v>14</v>
      </c>
      <c r="B21" s="11" t="s">
        <v>15</v>
      </c>
      <c r="C21" s="11" t="s">
        <v>16</v>
      </c>
      <c r="D21" s="12" t="s">
        <v>75</v>
      </c>
      <c r="E21" s="13">
        <v>137.38</v>
      </c>
      <c r="F21" s="14">
        <f>E21/5</f>
        <v>27.475999999999999</v>
      </c>
      <c r="G21" s="15">
        <f>F21*25</f>
        <v>686.9</v>
      </c>
      <c r="H21" s="16">
        <v>0</v>
      </c>
      <c r="I21" s="16">
        <f>H21/2</f>
        <v>0</v>
      </c>
      <c r="J21" s="16">
        <f>I21*30</f>
        <v>0</v>
      </c>
      <c r="K21" s="17">
        <f>J21+G21</f>
        <v>686.9</v>
      </c>
      <c r="L21" s="18">
        <v>315</v>
      </c>
      <c r="M21" s="19">
        <v>2.4</v>
      </c>
      <c r="N21" s="20">
        <v>7.0000000000000007E-2</v>
      </c>
    </row>
    <row r="22" spans="1:18" ht="15.75" thickBot="1" x14ac:dyDescent="0.3">
      <c r="A22" s="54"/>
      <c r="B22" s="11" t="s">
        <v>15</v>
      </c>
      <c r="C22" s="56" t="s">
        <v>17</v>
      </c>
      <c r="D22" s="57"/>
      <c r="E22" s="21">
        <v>30.69</v>
      </c>
      <c r="F22" s="14">
        <f t="shared" ref="F22:F26" si="0">E22/5</f>
        <v>6.1379999999999999</v>
      </c>
      <c r="G22" s="15">
        <v>107</v>
      </c>
      <c r="H22" s="16">
        <v>0</v>
      </c>
      <c r="I22" s="16">
        <f t="shared" ref="I22:I26" si="1">H22/2</f>
        <v>0</v>
      </c>
      <c r="J22" s="16">
        <f t="shared" ref="J22:J26" si="2">I22*30</f>
        <v>0</v>
      </c>
      <c r="K22" s="17">
        <v>107.41500000000001</v>
      </c>
      <c r="L22" s="22">
        <v>125</v>
      </c>
      <c r="M22" s="23">
        <v>2.4</v>
      </c>
      <c r="N22" s="20">
        <v>7.0000000000000007E-2</v>
      </c>
    </row>
    <row r="23" spans="1:18" ht="15.75" thickBot="1" x14ac:dyDescent="0.3">
      <c r="A23" s="54"/>
      <c r="B23" s="24" t="s">
        <v>18</v>
      </c>
      <c r="C23" s="24" t="s">
        <v>19</v>
      </c>
      <c r="D23" s="12" t="s">
        <v>75</v>
      </c>
      <c r="E23" s="13">
        <v>30.17</v>
      </c>
      <c r="F23" s="14">
        <f t="shared" si="0"/>
        <v>6.0340000000000007</v>
      </c>
      <c r="G23" s="15">
        <v>106</v>
      </c>
      <c r="H23" s="16">
        <v>0</v>
      </c>
      <c r="I23" s="16">
        <f t="shared" si="1"/>
        <v>0</v>
      </c>
      <c r="J23" s="16">
        <f t="shared" si="2"/>
        <v>0</v>
      </c>
      <c r="K23" s="17">
        <v>105.59</v>
      </c>
      <c r="L23" s="22">
        <v>125</v>
      </c>
      <c r="M23" s="23">
        <v>2.4</v>
      </c>
      <c r="N23" s="20">
        <v>7.0000000000000007E-2</v>
      </c>
    </row>
    <row r="24" spans="1:18" ht="15.75" thickBot="1" x14ac:dyDescent="0.3">
      <c r="A24" s="54"/>
      <c r="B24" s="24" t="s">
        <v>18</v>
      </c>
      <c r="C24" s="24" t="s">
        <v>20</v>
      </c>
      <c r="D24" s="12" t="s">
        <v>75</v>
      </c>
      <c r="E24" s="21">
        <v>49.42</v>
      </c>
      <c r="F24" s="14">
        <f t="shared" si="0"/>
        <v>9.8840000000000003</v>
      </c>
      <c r="G24" s="15">
        <f t="shared" ref="G24:G25" si="3">F24*25</f>
        <v>247.10000000000002</v>
      </c>
      <c r="H24" s="16">
        <v>0</v>
      </c>
      <c r="I24" s="16">
        <f t="shared" si="1"/>
        <v>0</v>
      </c>
      <c r="J24" s="16">
        <f t="shared" si="2"/>
        <v>0</v>
      </c>
      <c r="K24" s="17">
        <f t="shared" ref="K24:K25" si="4">J24+G24</f>
        <v>247.10000000000002</v>
      </c>
      <c r="L24" s="22">
        <v>200</v>
      </c>
      <c r="M24" s="23">
        <v>2.2000000000000002</v>
      </c>
      <c r="N24" s="20">
        <v>7.0000000000000007E-2</v>
      </c>
    </row>
    <row r="25" spans="1:18" ht="15.75" thickBot="1" x14ac:dyDescent="0.3">
      <c r="A25" s="54"/>
      <c r="B25" s="24" t="s">
        <v>18</v>
      </c>
      <c r="C25" s="24" t="s">
        <v>21</v>
      </c>
      <c r="D25" s="12" t="s">
        <v>75</v>
      </c>
      <c r="E25" s="21">
        <v>138.4</v>
      </c>
      <c r="F25" s="14">
        <f t="shared" si="0"/>
        <v>27.68</v>
      </c>
      <c r="G25" s="15">
        <f t="shared" si="3"/>
        <v>692</v>
      </c>
      <c r="H25" s="16">
        <v>0</v>
      </c>
      <c r="I25" s="16">
        <f t="shared" si="1"/>
        <v>0</v>
      </c>
      <c r="J25" s="16">
        <f t="shared" si="2"/>
        <v>0</v>
      </c>
      <c r="K25" s="17">
        <f t="shared" si="4"/>
        <v>692</v>
      </c>
      <c r="L25" s="22">
        <v>315</v>
      </c>
      <c r="M25" s="23">
        <v>2.5</v>
      </c>
      <c r="N25" s="20">
        <v>7.0000000000000007E-2</v>
      </c>
    </row>
    <row r="26" spans="1:18" ht="15.75" thickBot="1" x14ac:dyDescent="0.3">
      <c r="A26" s="55"/>
      <c r="B26" s="24" t="s">
        <v>18</v>
      </c>
      <c r="C26" s="56" t="s">
        <v>22</v>
      </c>
      <c r="D26" s="57"/>
      <c r="E26" s="25">
        <v>22.98</v>
      </c>
      <c r="F26" s="14">
        <f t="shared" si="0"/>
        <v>4.5960000000000001</v>
      </c>
      <c r="G26" s="15">
        <v>80</v>
      </c>
      <c r="H26" s="16">
        <v>0</v>
      </c>
      <c r="I26" s="16">
        <f t="shared" si="1"/>
        <v>0</v>
      </c>
      <c r="J26" s="16">
        <f t="shared" si="2"/>
        <v>0</v>
      </c>
      <c r="K26" s="17">
        <v>80.3</v>
      </c>
      <c r="L26" s="26">
        <v>125</v>
      </c>
      <c r="M26" s="23">
        <v>1.8</v>
      </c>
      <c r="N26" s="20">
        <v>7.0000000000000007E-2</v>
      </c>
    </row>
    <row r="31" spans="1:18" ht="15.75" thickBot="1" x14ac:dyDescent="0.3"/>
    <row r="32" spans="1:18" ht="15.75" thickBot="1" x14ac:dyDescent="0.3">
      <c r="A32" s="53" t="s">
        <v>25</v>
      </c>
      <c r="B32" s="11" t="s">
        <v>15</v>
      </c>
      <c r="C32" s="24" t="s">
        <v>26</v>
      </c>
      <c r="D32" s="12" t="s">
        <v>75</v>
      </c>
      <c r="E32" s="13">
        <v>73.72</v>
      </c>
      <c r="F32" s="14">
        <f t="shared" ref="F32:F41" si="5">E32/5</f>
        <v>14.744</v>
      </c>
      <c r="G32" s="15">
        <f t="shared" ref="G32:G40" si="6">F32*25</f>
        <v>368.6</v>
      </c>
      <c r="H32" s="16">
        <v>0</v>
      </c>
      <c r="I32" s="16">
        <f t="shared" ref="I32:I41" si="7">H32/2</f>
        <v>0</v>
      </c>
      <c r="J32" s="16">
        <f t="shared" ref="J32:J41" si="8">I32*30</f>
        <v>0</v>
      </c>
      <c r="K32" s="17">
        <f t="shared" ref="K32:K40" si="9">J32+G32</f>
        <v>368.6</v>
      </c>
      <c r="L32" s="26">
        <v>250</v>
      </c>
      <c r="M32" s="23">
        <v>2.1</v>
      </c>
      <c r="N32" s="20">
        <v>7.0000000000000007E-2</v>
      </c>
    </row>
    <row r="33" spans="1:14" ht="15.75" thickBot="1" x14ac:dyDescent="0.3">
      <c r="A33" s="54"/>
      <c r="B33" s="11" t="s">
        <v>15</v>
      </c>
      <c r="C33" s="24" t="s">
        <v>27</v>
      </c>
      <c r="D33" s="12" t="s">
        <v>75</v>
      </c>
      <c r="E33" s="13">
        <v>0</v>
      </c>
      <c r="F33" s="14">
        <f t="shared" si="5"/>
        <v>0</v>
      </c>
      <c r="G33" s="15">
        <f t="shared" si="6"/>
        <v>0</v>
      </c>
      <c r="H33" s="29">
        <v>50.36</v>
      </c>
      <c r="I33" s="16">
        <f t="shared" si="7"/>
        <v>25.18</v>
      </c>
      <c r="J33" s="16">
        <f t="shared" si="8"/>
        <v>755.4</v>
      </c>
      <c r="K33" s="17">
        <f t="shared" si="9"/>
        <v>755.4</v>
      </c>
      <c r="L33" s="26">
        <v>315</v>
      </c>
      <c r="M33" s="23">
        <v>2.7</v>
      </c>
      <c r="N33" s="20">
        <v>7.0000000000000007E-2</v>
      </c>
    </row>
    <row r="34" spans="1:14" ht="15.75" thickBot="1" x14ac:dyDescent="0.3">
      <c r="A34" s="54"/>
      <c r="B34" s="11" t="s">
        <v>15</v>
      </c>
      <c r="C34" s="24" t="s">
        <v>28</v>
      </c>
      <c r="D34" s="12" t="s">
        <v>75</v>
      </c>
      <c r="E34" s="13">
        <v>0</v>
      </c>
      <c r="F34" s="14">
        <f t="shared" si="5"/>
        <v>0</v>
      </c>
      <c r="G34" s="15">
        <f t="shared" si="6"/>
        <v>0</v>
      </c>
      <c r="H34" s="29">
        <v>33.75</v>
      </c>
      <c r="I34" s="16">
        <f t="shared" si="7"/>
        <v>16.875</v>
      </c>
      <c r="J34" s="16">
        <f t="shared" si="8"/>
        <v>506.25</v>
      </c>
      <c r="K34" s="17">
        <f t="shared" si="9"/>
        <v>506.25</v>
      </c>
      <c r="L34" s="26">
        <v>205</v>
      </c>
      <c r="M34" s="23">
        <v>2.9</v>
      </c>
      <c r="N34" s="20">
        <v>7.0000000000000007E-2</v>
      </c>
    </row>
    <row r="35" spans="1:14" ht="15.75" thickBot="1" x14ac:dyDescent="0.3">
      <c r="A35" s="54"/>
      <c r="B35" s="11" t="s">
        <v>15</v>
      </c>
      <c r="C35" s="56" t="s">
        <v>17</v>
      </c>
      <c r="D35" s="57"/>
      <c r="E35" s="13">
        <v>44.25</v>
      </c>
      <c r="F35" s="14">
        <f t="shared" si="5"/>
        <v>8.85</v>
      </c>
      <c r="G35" s="15">
        <v>155</v>
      </c>
      <c r="H35" s="16">
        <v>0</v>
      </c>
      <c r="I35" s="16">
        <f t="shared" si="7"/>
        <v>0</v>
      </c>
      <c r="J35" s="16">
        <f t="shared" si="8"/>
        <v>0</v>
      </c>
      <c r="K35" s="17">
        <v>154.875</v>
      </c>
      <c r="L35" s="26">
        <v>160</v>
      </c>
      <c r="M35" s="23">
        <v>2.1</v>
      </c>
      <c r="N35" s="20">
        <v>7.0000000000000007E-2</v>
      </c>
    </row>
    <row r="36" spans="1:14" ht="15.75" thickBot="1" x14ac:dyDescent="0.3">
      <c r="A36" s="54"/>
      <c r="B36" s="24" t="s">
        <v>18</v>
      </c>
      <c r="C36" s="24" t="s">
        <v>19</v>
      </c>
      <c r="D36" s="12" t="s">
        <v>75</v>
      </c>
      <c r="E36" s="13">
        <v>35.07</v>
      </c>
      <c r="F36" s="14">
        <f t="shared" si="5"/>
        <v>7.0140000000000002</v>
      </c>
      <c r="G36" s="15">
        <v>123</v>
      </c>
      <c r="H36" s="16">
        <v>0</v>
      </c>
      <c r="I36" s="16">
        <f t="shared" si="7"/>
        <v>0</v>
      </c>
      <c r="J36" s="16">
        <f t="shared" si="8"/>
        <v>0</v>
      </c>
      <c r="K36" s="17">
        <v>122.745</v>
      </c>
      <c r="L36" s="26">
        <v>125</v>
      </c>
      <c r="M36" s="23">
        <v>2.8</v>
      </c>
      <c r="N36" s="20">
        <v>7.0000000000000007E-2</v>
      </c>
    </row>
    <row r="37" spans="1:14" ht="15.75" thickBot="1" x14ac:dyDescent="0.3">
      <c r="A37" s="54"/>
      <c r="B37" s="24" t="s">
        <v>18</v>
      </c>
      <c r="C37" s="24" t="s">
        <v>29</v>
      </c>
      <c r="D37" s="12" t="s">
        <v>75</v>
      </c>
      <c r="E37" s="13">
        <v>12.54</v>
      </c>
      <c r="F37" s="14">
        <f>E37/4</f>
        <v>3.1349999999999998</v>
      </c>
      <c r="G37" s="15">
        <f>F37*30</f>
        <v>94.05</v>
      </c>
      <c r="H37" s="16">
        <v>0</v>
      </c>
      <c r="I37" s="16">
        <f t="shared" si="7"/>
        <v>0</v>
      </c>
      <c r="J37" s="16">
        <f t="shared" si="8"/>
        <v>0</v>
      </c>
      <c r="K37" s="17">
        <f t="shared" si="9"/>
        <v>94.05</v>
      </c>
      <c r="L37" s="26">
        <v>125</v>
      </c>
      <c r="M37" s="23">
        <v>2.1</v>
      </c>
      <c r="N37" s="20">
        <v>7.0000000000000007E-2</v>
      </c>
    </row>
    <row r="38" spans="1:14" ht="15.75" thickBot="1" x14ac:dyDescent="0.3">
      <c r="A38" s="54"/>
      <c r="B38" s="24" t="s">
        <v>18</v>
      </c>
      <c r="C38" s="24" t="s">
        <v>30</v>
      </c>
      <c r="D38" s="12" t="s">
        <v>75</v>
      </c>
      <c r="E38" s="13">
        <v>0</v>
      </c>
      <c r="F38" s="14">
        <f t="shared" si="5"/>
        <v>0</v>
      </c>
      <c r="G38" s="15">
        <f t="shared" si="6"/>
        <v>0</v>
      </c>
      <c r="H38" s="29">
        <v>36.729999999999997</v>
      </c>
      <c r="I38" s="16">
        <f>H38/2</f>
        <v>18.364999999999998</v>
      </c>
      <c r="J38" s="16">
        <f t="shared" si="8"/>
        <v>550.94999999999993</v>
      </c>
      <c r="K38" s="17">
        <f t="shared" si="9"/>
        <v>550.94999999999993</v>
      </c>
      <c r="L38" s="26">
        <v>250</v>
      </c>
      <c r="M38" s="23">
        <v>3.1</v>
      </c>
      <c r="N38" s="20">
        <v>7.0000000000000007E-2</v>
      </c>
    </row>
    <row r="39" spans="1:14" ht="15.75" thickBot="1" x14ac:dyDescent="0.3">
      <c r="A39" s="54"/>
      <c r="B39" s="24" t="s">
        <v>18</v>
      </c>
      <c r="C39" s="24" t="s">
        <v>31</v>
      </c>
      <c r="D39" s="12" t="s">
        <v>75</v>
      </c>
      <c r="E39" s="13">
        <v>0</v>
      </c>
      <c r="F39" s="14">
        <f t="shared" si="5"/>
        <v>0</v>
      </c>
      <c r="G39" s="15">
        <f t="shared" si="6"/>
        <v>0</v>
      </c>
      <c r="H39" s="29">
        <v>37.93</v>
      </c>
      <c r="I39" s="16">
        <f t="shared" si="7"/>
        <v>18.965</v>
      </c>
      <c r="J39" s="16">
        <f t="shared" si="8"/>
        <v>568.95000000000005</v>
      </c>
      <c r="K39" s="17">
        <f t="shared" si="9"/>
        <v>568.95000000000005</v>
      </c>
      <c r="L39" s="26">
        <v>250</v>
      </c>
      <c r="M39" s="23">
        <v>3.2</v>
      </c>
      <c r="N39" s="20">
        <v>7.0000000000000007E-2</v>
      </c>
    </row>
    <row r="40" spans="1:14" ht="15.75" thickBot="1" x14ac:dyDescent="0.3">
      <c r="A40" s="54"/>
      <c r="B40" s="24" t="s">
        <v>18</v>
      </c>
      <c r="C40" s="24" t="s">
        <v>32</v>
      </c>
      <c r="D40" s="12" t="s">
        <v>75</v>
      </c>
      <c r="E40" s="13">
        <v>155.16</v>
      </c>
      <c r="F40" s="14">
        <f t="shared" si="5"/>
        <v>31.032</v>
      </c>
      <c r="G40" s="15">
        <f t="shared" si="6"/>
        <v>775.8</v>
      </c>
      <c r="H40" s="16">
        <v>0</v>
      </c>
      <c r="I40" s="16">
        <f t="shared" si="7"/>
        <v>0</v>
      </c>
      <c r="J40" s="16">
        <f t="shared" si="8"/>
        <v>0</v>
      </c>
      <c r="K40" s="17">
        <f t="shared" si="9"/>
        <v>775.8</v>
      </c>
      <c r="L40" s="26">
        <v>315</v>
      </c>
      <c r="M40" s="23">
        <v>2.8</v>
      </c>
      <c r="N40" s="20">
        <v>7.0000000000000007E-2</v>
      </c>
    </row>
    <row r="41" spans="1:14" ht="15.75" thickBot="1" x14ac:dyDescent="0.3">
      <c r="A41" s="54"/>
      <c r="B41" s="24" t="s">
        <v>18</v>
      </c>
      <c r="C41" s="56" t="s">
        <v>22</v>
      </c>
      <c r="D41" s="57"/>
      <c r="E41" s="13">
        <v>47.13</v>
      </c>
      <c r="F41" s="14">
        <f t="shared" si="5"/>
        <v>9.4260000000000002</v>
      </c>
      <c r="G41" s="15">
        <v>165</v>
      </c>
      <c r="H41" s="16">
        <v>0</v>
      </c>
      <c r="I41" s="16">
        <f t="shared" si="7"/>
        <v>0</v>
      </c>
      <c r="J41" s="16">
        <f t="shared" si="8"/>
        <v>0</v>
      </c>
      <c r="K41" s="17">
        <v>164.95500000000001</v>
      </c>
      <c r="L41" s="26">
        <v>160</v>
      </c>
      <c r="M41" s="23">
        <v>2.2999999999999998</v>
      </c>
      <c r="N41" s="20">
        <v>7.0000000000000007E-2</v>
      </c>
    </row>
    <row r="46" spans="1:14" ht="15.75" thickBot="1" x14ac:dyDescent="0.3"/>
    <row r="47" spans="1:14" ht="15.75" thickBot="1" x14ac:dyDescent="0.3">
      <c r="A47" s="53" t="s">
        <v>33</v>
      </c>
      <c r="B47" s="11" t="s">
        <v>15</v>
      </c>
      <c r="C47" s="24" t="s">
        <v>34</v>
      </c>
      <c r="D47" s="12" t="s">
        <v>75</v>
      </c>
      <c r="E47" s="30">
        <v>70.89</v>
      </c>
      <c r="F47" s="14">
        <f t="shared" ref="F47:F58" si="10">E47/5</f>
        <v>14.178000000000001</v>
      </c>
      <c r="G47" s="15">
        <f t="shared" ref="G47:G58" si="11">F47*25</f>
        <v>354.45000000000005</v>
      </c>
      <c r="H47" s="16">
        <v>0</v>
      </c>
      <c r="I47" s="16">
        <f t="shared" ref="I47:I58" si="12">H47/2</f>
        <v>0</v>
      </c>
      <c r="J47" s="16">
        <f t="shared" ref="J47:J58" si="13">I47*30</f>
        <v>0</v>
      </c>
      <c r="K47" s="17">
        <f t="shared" ref="K47:K58" si="14">J47+G47</f>
        <v>354.45000000000005</v>
      </c>
      <c r="L47" s="26">
        <v>200</v>
      </c>
      <c r="M47" s="23">
        <v>3.1</v>
      </c>
      <c r="N47" s="20">
        <v>7.0000000000000007E-2</v>
      </c>
    </row>
    <row r="48" spans="1:14" ht="15.75" thickBot="1" x14ac:dyDescent="0.3">
      <c r="A48" s="54"/>
      <c r="B48" s="11" t="s">
        <v>15</v>
      </c>
      <c r="C48" s="24" t="s">
        <v>34</v>
      </c>
      <c r="D48" s="12" t="s">
        <v>75</v>
      </c>
      <c r="E48" s="30">
        <v>103.84</v>
      </c>
      <c r="F48" s="14">
        <f t="shared" si="10"/>
        <v>20.768000000000001</v>
      </c>
      <c r="G48" s="15">
        <f t="shared" si="11"/>
        <v>519.20000000000005</v>
      </c>
      <c r="H48" s="16">
        <v>0</v>
      </c>
      <c r="I48" s="16">
        <f t="shared" si="12"/>
        <v>0</v>
      </c>
      <c r="J48" s="16">
        <f t="shared" si="13"/>
        <v>0</v>
      </c>
      <c r="K48" s="17">
        <f t="shared" si="14"/>
        <v>519.20000000000005</v>
      </c>
      <c r="L48" s="26">
        <v>250</v>
      </c>
      <c r="M48" s="23">
        <v>2.9</v>
      </c>
      <c r="N48" s="20">
        <v>7.0000000000000007E-2</v>
      </c>
    </row>
    <row r="49" spans="1:14" ht="15.75" thickBot="1" x14ac:dyDescent="0.3">
      <c r="A49" s="54"/>
      <c r="B49" s="11" t="s">
        <v>15</v>
      </c>
      <c r="C49" s="24" t="s">
        <v>35</v>
      </c>
      <c r="D49" s="12" t="s">
        <v>75</v>
      </c>
      <c r="E49" s="30">
        <v>0</v>
      </c>
      <c r="F49" s="14">
        <f t="shared" si="10"/>
        <v>0</v>
      </c>
      <c r="G49" s="15">
        <f t="shared" si="11"/>
        <v>0</v>
      </c>
      <c r="H49" s="29">
        <v>23.25</v>
      </c>
      <c r="I49" s="16">
        <f t="shared" si="12"/>
        <v>11.625</v>
      </c>
      <c r="J49" s="16">
        <f t="shared" si="13"/>
        <v>348.75</v>
      </c>
      <c r="K49" s="17">
        <f>J49+G49</f>
        <v>348.75</v>
      </c>
      <c r="L49" s="26">
        <v>200</v>
      </c>
      <c r="M49" s="23">
        <v>3.1</v>
      </c>
      <c r="N49" s="20">
        <v>7.0000000000000007E-2</v>
      </c>
    </row>
    <row r="50" spans="1:14" ht="15.75" thickBot="1" x14ac:dyDescent="0.3">
      <c r="A50" s="54"/>
      <c r="B50" s="11" t="s">
        <v>15</v>
      </c>
      <c r="C50" s="24" t="s">
        <v>36</v>
      </c>
      <c r="D50" s="12" t="s">
        <v>75</v>
      </c>
      <c r="E50" s="30">
        <v>0</v>
      </c>
      <c r="F50" s="14">
        <f t="shared" si="10"/>
        <v>0</v>
      </c>
      <c r="G50" s="15">
        <f t="shared" si="11"/>
        <v>0</v>
      </c>
      <c r="H50" s="29">
        <v>41.49</v>
      </c>
      <c r="I50" s="16">
        <f t="shared" si="12"/>
        <v>20.745000000000001</v>
      </c>
      <c r="J50" s="16">
        <f t="shared" si="13"/>
        <v>622.35</v>
      </c>
      <c r="K50" s="17">
        <f>J50+G50</f>
        <v>622.35</v>
      </c>
      <c r="L50" s="26">
        <v>315</v>
      </c>
      <c r="M50" s="23">
        <v>2.2000000000000002</v>
      </c>
      <c r="N50" s="20">
        <v>7.0000000000000007E-2</v>
      </c>
    </row>
    <row r="51" spans="1:14" ht="15.75" thickBot="1" x14ac:dyDescent="0.3">
      <c r="A51" s="54"/>
      <c r="B51" s="11" t="s">
        <v>15</v>
      </c>
      <c r="C51" s="24" t="s">
        <v>35</v>
      </c>
      <c r="D51" s="12" t="s">
        <v>75</v>
      </c>
      <c r="E51" s="30">
        <v>0</v>
      </c>
      <c r="F51" s="14">
        <f t="shared" si="10"/>
        <v>0</v>
      </c>
      <c r="G51" s="15">
        <f t="shared" si="11"/>
        <v>0</v>
      </c>
      <c r="H51" s="29">
        <v>22.55</v>
      </c>
      <c r="I51" s="16">
        <f t="shared" si="12"/>
        <v>11.275</v>
      </c>
      <c r="J51" s="16">
        <f t="shared" si="13"/>
        <v>338.25</v>
      </c>
      <c r="K51" s="17">
        <f t="shared" si="14"/>
        <v>338.25</v>
      </c>
      <c r="L51" s="26">
        <v>200</v>
      </c>
      <c r="M51" s="23">
        <v>3</v>
      </c>
      <c r="N51" s="20">
        <v>7.0000000000000007E-2</v>
      </c>
    </row>
    <row r="52" spans="1:14" ht="15.75" thickBot="1" x14ac:dyDescent="0.3">
      <c r="A52" s="54"/>
      <c r="B52" s="11" t="s">
        <v>15</v>
      </c>
      <c r="C52" s="24" t="s">
        <v>37</v>
      </c>
      <c r="D52" s="12" t="s">
        <v>75</v>
      </c>
      <c r="E52" s="30">
        <v>0</v>
      </c>
      <c r="F52" s="14">
        <f t="shared" si="10"/>
        <v>0</v>
      </c>
      <c r="G52" s="15">
        <f t="shared" si="11"/>
        <v>0</v>
      </c>
      <c r="H52" s="29">
        <v>19.29</v>
      </c>
      <c r="I52" s="16">
        <f t="shared" si="12"/>
        <v>9.6449999999999996</v>
      </c>
      <c r="J52" s="16">
        <f t="shared" si="13"/>
        <v>289.34999999999997</v>
      </c>
      <c r="K52" s="17">
        <f t="shared" si="14"/>
        <v>289.34999999999997</v>
      </c>
      <c r="L52" s="26">
        <v>200</v>
      </c>
      <c r="M52" s="23">
        <v>2.6</v>
      </c>
      <c r="N52" s="20">
        <v>7.0000000000000007E-2</v>
      </c>
    </row>
    <row r="53" spans="1:14" ht="15.75" thickBot="1" x14ac:dyDescent="0.3">
      <c r="A53" s="54"/>
      <c r="B53" s="11" t="s">
        <v>15</v>
      </c>
      <c r="C53" s="24" t="s">
        <v>19</v>
      </c>
      <c r="D53" s="12" t="s">
        <v>75</v>
      </c>
      <c r="E53" s="30">
        <v>20.03</v>
      </c>
      <c r="F53" s="14">
        <f t="shared" si="10"/>
        <v>4.0060000000000002</v>
      </c>
      <c r="G53" s="15">
        <f t="shared" si="11"/>
        <v>100.15</v>
      </c>
      <c r="H53" s="16">
        <v>0</v>
      </c>
      <c r="I53" s="16">
        <f t="shared" si="12"/>
        <v>0</v>
      </c>
      <c r="J53" s="16">
        <f t="shared" si="13"/>
        <v>0</v>
      </c>
      <c r="K53" s="17">
        <v>70.105000000000004</v>
      </c>
      <c r="L53" s="26">
        <v>125</v>
      </c>
      <c r="M53" s="23">
        <v>1.6</v>
      </c>
      <c r="N53" s="20">
        <v>7.0000000000000007E-2</v>
      </c>
    </row>
    <row r="54" spans="1:14" ht="15.75" thickBot="1" x14ac:dyDescent="0.3">
      <c r="A54" s="54"/>
      <c r="B54" s="11" t="s">
        <v>15</v>
      </c>
      <c r="C54" s="56" t="s">
        <v>17</v>
      </c>
      <c r="D54" s="57"/>
      <c r="E54" s="30">
        <v>47.48</v>
      </c>
      <c r="F54" s="14">
        <f t="shared" si="10"/>
        <v>9.4959999999999987</v>
      </c>
      <c r="G54" s="15">
        <v>166</v>
      </c>
      <c r="H54" s="16">
        <v>0</v>
      </c>
      <c r="I54" s="16">
        <f t="shared" si="12"/>
        <v>0</v>
      </c>
      <c r="J54" s="16">
        <f t="shared" si="13"/>
        <v>0</v>
      </c>
      <c r="K54" s="17">
        <v>166.18</v>
      </c>
      <c r="L54" s="26">
        <v>160</v>
      </c>
      <c r="M54" s="23">
        <v>2.2999999999999998</v>
      </c>
      <c r="N54" s="20">
        <v>7.0000000000000007E-2</v>
      </c>
    </row>
    <row r="55" spans="1:14" ht="15.75" thickBot="1" x14ac:dyDescent="0.3">
      <c r="A55" s="54"/>
      <c r="B55" s="24" t="s">
        <v>18</v>
      </c>
      <c r="C55" s="56" t="s">
        <v>22</v>
      </c>
      <c r="D55" s="57"/>
      <c r="E55" s="30">
        <v>60.78</v>
      </c>
      <c r="F55" s="14">
        <f t="shared" si="10"/>
        <v>12.156000000000001</v>
      </c>
      <c r="G55" s="15">
        <v>213</v>
      </c>
      <c r="H55" s="16">
        <v>0</v>
      </c>
      <c r="I55" s="16">
        <f t="shared" si="12"/>
        <v>0</v>
      </c>
      <c r="J55" s="16">
        <f t="shared" si="13"/>
        <v>0</v>
      </c>
      <c r="K55" s="17">
        <v>212.73</v>
      </c>
      <c r="L55" s="26">
        <v>160</v>
      </c>
      <c r="M55" s="23">
        <v>2.9</v>
      </c>
      <c r="N55" s="20">
        <v>7.0000000000000007E-2</v>
      </c>
    </row>
    <row r="56" spans="1:14" ht="15.75" thickBot="1" x14ac:dyDescent="0.3">
      <c r="A56" s="54"/>
      <c r="B56" s="24" t="s">
        <v>18</v>
      </c>
      <c r="C56" s="24" t="s">
        <v>38</v>
      </c>
      <c r="D56" s="12" t="s">
        <v>75</v>
      </c>
      <c r="E56" s="30">
        <v>0</v>
      </c>
      <c r="F56" s="14">
        <f t="shared" si="10"/>
        <v>0</v>
      </c>
      <c r="G56" s="15">
        <f t="shared" si="11"/>
        <v>0</v>
      </c>
      <c r="H56" s="29">
        <v>20.39</v>
      </c>
      <c r="I56" s="16">
        <f t="shared" si="12"/>
        <v>10.195</v>
      </c>
      <c r="J56" s="16">
        <f t="shared" si="13"/>
        <v>305.85000000000002</v>
      </c>
      <c r="K56" s="17">
        <f t="shared" si="14"/>
        <v>305.85000000000002</v>
      </c>
      <c r="L56" s="26">
        <v>200</v>
      </c>
      <c r="M56" s="23">
        <v>2.7</v>
      </c>
      <c r="N56" s="20">
        <v>7.0000000000000007E-2</v>
      </c>
    </row>
    <row r="57" spans="1:14" ht="15.75" thickBot="1" x14ac:dyDescent="0.3">
      <c r="A57" s="54"/>
      <c r="B57" s="24" t="s">
        <v>18</v>
      </c>
      <c r="C57" s="24" t="s">
        <v>39</v>
      </c>
      <c r="D57" s="12" t="s">
        <v>75</v>
      </c>
      <c r="E57" s="30">
        <v>0</v>
      </c>
      <c r="F57" s="14">
        <f t="shared" si="10"/>
        <v>0</v>
      </c>
      <c r="G57" s="15">
        <f t="shared" si="11"/>
        <v>0</v>
      </c>
      <c r="H57" s="29">
        <v>32.950000000000003</v>
      </c>
      <c r="I57" s="16">
        <f t="shared" si="12"/>
        <v>16.475000000000001</v>
      </c>
      <c r="J57" s="16">
        <f t="shared" si="13"/>
        <v>494.25000000000006</v>
      </c>
      <c r="K57" s="17">
        <f t="shared" si="14"/>
        <v>494.25000000000006</v>
      </c>
      <c r="L57" s="26">
        <v>250</v>
      </c>
      <c r="M57" s="23">
        <v>2.8</v>
      </c>
      <c r="N57" s="20">
        <v>7.0000000000000007E-2</v>
      </c>
    </row>
    <row r="58" spans="1:14" ht="15.75" thickBot="1" x14ac:dyDescent="0.3">
      <c r="A58" s="54"/>
      <c r="B58" s="24" t="s">
        <v>18</v>
      </c>
      <c r="C58" s="24" t="s">
        <v>40</v>
      </c>
      <c r="D58" s="12" t="s">
        <v>75</v>
      </c>
      <c r="E58" s="30">
        <v>152.71</v>
      </c>
      <c r="F58" s="14">
        <f t="shared" si="10"/>
        <v>30.542000000000002</v>
      </c>
      <c r="G58" s="15">
        <f t="shared" si="11"/>
        <v>763.55000000000007</v>
      </c>
      <c r="H58" s="16">
        <v>0</v>
      </c>
      <c r="I58" s="16">
        <f t="shared" si="12"/>
        <v>0</v>
      </c>
      <c r="J58" s="16">
        <f t="shared" si="13"/>
        <v>0</v>
      </c>
      <c r="K58" s="17">
        <f t="shared" si="14"/>
        <v>763.55000000000007</v>
      </c>
      <c r="L58" s="26">
        <v>315</v>
      </c>
      <c r="M58" s="23">
        <v>2.7</v>
      </c>
      <c r="N58" s="20">
        <v>7.0000000000000007E-2</v>
      </c>
    </row>
    <row r="63" spans="1:14" ht="15.75" thickBot="1" x14ac:dyDescent="0.3"/>
    <row r="64" spans="1:14" ht="15.75" thickBot="1" x14ac:dyDescent="0.3">
      <c r="A64" s="53" t="s">
        <v>42</v>
      </c>
      <c r="B64" s="11" t="s">
        <v>15</v>
      </c>
      <c r="C64" s="24" t="s">
        <v>43</v>
      </c>
      <c r="D64" s="12" t="s">
        <v>75</v>
      </c>
      <c r="E64" s="30">
        <v>0</v>
      </c>
      <c r="F64" s="14">
        <f t="shared" ref="F64:F81" si="15">E64/5</f>
        <v>0</v>
      </c>
      <c r="G64" s="15">
        <f t="shared" ref="G64:G80" si="16">F64*25</f>
        <v>0</v>
      </c>
      <c r="H64" s="29">
        <v>45.7</v>
      </c>
      <c r="I64" s="16">
        <f t="shared" ref="I64:I81" si="17">H64/2</f>
        <v>22.85</v>
      </c>
      <c r="J64" s="16">
        <f t="shared" ref="J64:J81" si="18">I64*30</f>
        <v>685.5</v>
      </c>
      <c r="K64" s="17">
        <f t="shared" ref="K64:K79" si="19">J64+G64</f>
        <v>685.5</v>
      </c>
      <c r="L64" s="26">
        <v>315</v>
      </c>
      <c r="M64" s="23">
        <v>2.4</v>
      </c>
      <c r="N64" s="20">
        <v>7.0000000000000007E-2</v>
      </c>
    </row>
    <row r="65" spans="1:14" ht="15.75" thickBot="1" x14ac:dyDescent="0.3">
      <c r="A65" s="54"/>
      <c r="B65" s="11" t="s">
        <v>15</v>
      </c>
      <c r="C65" s="24" t="s">
        <v>44</v>
      </c>
      <c r="D65" s="12" t="s">
        <v>75</v>
      </c>
      <c r="E65" s="30">
        <v>0</v>
      </c>
      <c r="F65" s="14">
        <f t="shared" si="15"/>
        <v>0</v>
      </c>
      <c r="G65" s="15">
        <f t="shared" si="16"/>
        <v>0</v>
      </c>
      <c r="H65" s="29">
        <v>54.49</v>
      </c>
      <c r="I65" s="16">
        <f t="shared" si="17"/>
        <v>27.245000000000001</v>
      </c>
      <c r="J65" s="16">
        <f t="shared" si="18"/>
        <v>817.35</v>
      </c>
      <c r="K65" s="17">
        <f t="shared" si="19"/>
        <v>817.35</v>
      </c>
      <c r="L65" s="26">
        <v>315</v>
      </c>
      <c r="M65" s="23">
        <v>2.9</v>
      </c>
      <c r="N65" s="20">
        <v>7.0000000000000007E-2</v>
      </c>
    </row>
    <row r="66" spans="1:14" ht="15.75" thickBot="1" x14ac:dyDescent="0.3">
      <c r="A66" s="54"/>
      <c r="B66" s="11" t="s">
        <v>15</v>
      </c>
      <c r="C66" s="24" t="s">
        <v>45</v>
      </c>
      <c r="D66" s="12" t="s">
        <v>75</v>
      </c>
      <c r="E66" s="30">
        <v>0</v>
      </c>
      <c r="F66" s="14">
        <f t="shared" si="15"/>
        <v>0</v>
      </c>
      <c r="G66" s="15">
        <f t="shared" si="16"/>
        <v>0</v>
      </c>
      <c r="H66" s="29">
        <v>53.27</v>
      </c>
      <c r="I66" s="16">
        <f t="shared" si="17"/>
        <v>26.635000000000002</v>
      </c>
      <c r="J66" s="16">
        <f t="shared" si="18"/>
        <v>799.05000000000007</v>
      </c>
      <c r="K66" s="17">
        <f t="shared" si="19"/>
        <v>799.05000000000007</v>
      </c>
      <c r="L66" s="26">
        <v>315</v>
      </c>
      <c r="M66" s="23">
        <v>2.8</v>
      </c>
      <c r="N66" s="20">
        <v>7.0000000000000007E-2</v>
      </c>
    </row>
    <row r="67" spans="1:14" ht="15.75" thickBot="1" x14ac:dyDescent="0.3">
      <c r="A67" s="54"/>
      <c r="B67" s="11" t="s">
        <v>15</v>
      </c>
      <c r="C67" s="24" t="s">
        <v>46</v>
      </c>
      <c r="D67" s="12" t="s">
        <v>75</v>
      </c>
      <c r="E67" s="30">
        <v>56.5</v>
      </c>
      <c r="F67" s="14">
        <f t="shared" si="15"/>
        <v>11.3</v>
      </c>
      <c r="G67" s="15">
        <f t="shared" si="16"/>
        <v>282.5</v>
      </c>
      <c r="H67" s="16">
        <v>0</v>
      </c>
      <c r="I67" s="16">
        <f t="shared" si="17"/>
        <v>0</v>
      </c>
      <c r="J67" s="16">
        <f t="shared" si="18"/>
        <v>0</v>
      </c>
      <c r="K67" s="17">
        <f t="shared" si="19"/>
        <v>282.5</v>
      </c>
      <c r="L67" s="26">
        <v>200</v>
      </c>
      <c r="M67" s="23">
        <v>2.5</v>
      </c>
      <c r="N67" s="20">
        <v>7.0000000000000007E-2</v>
      </c>
    </row>
    <row r="68" spans="1:14" ht="15.75" thickBot="1" x14ac:dyDescent="0.3">
      <c r="A68" s="54"/>
      <c r="B68" s="11" t="s">
        <v>15</v>
      </c>
      <c r="C68" s="24" t="s">
        <v>46</v>
      </c>
      <c r="D68" s="12" t="s">
        <v>75</v>
      </c>
      <c r="E68" s="30">
        <v>57.62</v>
      </c>
      <c r="F68" s="14">
        <f t="shared" si="15"/>
        <v>11.523999999999999</v>
      </c>
      <c r="G68" s="15">
        <f t="shared" si="16"/>
        <v>288.09999999999997</v>
      </c>
      <c r="H68" s="16">
        <v>0</v>
      </c>
      <c r="I68" s="16">
        <f t="shared" si="17"/>
        <v>0</v>
      </c>
      <c r="J68" s="16">
        <f t="shared" si="18"/>
        <v>0</v>
      </c>
      <c r="K68" s="17">
        <f t="shared" si="19"/>
        <v>288.09999999999997</v>
      </c>
      <c r="L68" s="26">
        <v>200</v>
      </c>
      <c r="M68" s="23">
        <v>2.5</v>
      </c>
      <c r="N68" s="20">
        <v>7.0000000000000007E-2</v>
      </c>
    </row>
    <row r="69" spans="1:14" ht="15.75" thickBot="1" x14ac:dyDescent="0.3">
      <c r="A69" s="54"/>
      <c r="B69" s="11" t="s">
        <v>15</v>
      </c>
      <c r="C69" s="24" t="s">
        <v>46</v>
      </c>
      <c r="D69" s="12" t="s">
        <v>75</v>
      </c>
      <c r="E69" s="30">
        <v>44.9</v>
      </c>
      <c r="F69" s="14">
        <f t="shared" si="15"/>
        <v>8.98</v>
      </c>
      <c r="G69" s="15">
        <f t="shared" si="16"/>
        <v>224.5</v>
      </c>
      <c r="H69" s="16">
        <v>0</v>
      </c>
      <c r="I69" s="16">
        <f t="shared" si="17"/>
        <v>0</v>
      </c>
      <c r="J69" s="16">
        <f t="shared" si="18"/>
        <v>0</v>
      </c>
      <c r="K69" s="17">
        <f t="shared" si="19"/>
        <v>224.5</v>
      </c>
      <c r="L69" s="26">
        <v>160</v>
      </c>
      <c r="M69" s="23">
        <v>3.1</v>
      </c>
      <c r="N69" s="20">
        <v>7.0000000000000007E-2</v>
      </c>
    </row>
    <row r="70" spans="1:14" ht="15.75" thickBot="1" x14ac:dyDescent="0.3">
      <c r="A70" s="54"/>
      <c r="B70" s="11" t="s">
        <v>15</v>
      </c>
      <c r="C70" s="24" t="s">
        <v>46</v>
      </c>
      <c r="D70" s="12" t="s">
        <v>75</v>
      </c>
      <c r="E70" s="30">
        <v>45.33</v>
      </c>
      <c r="F70" s="14">
        <f t="shared" si="15"/>
        <v>9.0659999999999989</v>
      </c>
      <c r="G70" s="15">
        <f t="shared" si="16"/>
        <v>226.64999999999998</v>
      </c>
      <c r="H70" s="16">
        <v>0</v>
      </c>
      <c r="I70" s="16">
        <f t="shared" si="17"/>
        <v>0</v>
      </c>
      <c r="J70" s="16">
        <f t="shared" si="18"/>
        <v>0</v>
      </c>
      <c r="K70" s="17">
        <f t="shared" si="19"/>
        <v>226.64999999999998</v>
      </c>
      <c r="L70" s="26">
        <v>160</v>
      </c>
      <c r="M70" s="23">
        <v>3.1</v>
      </c>
      <c r="N70" s="20">
        <v>7.0000000000000007E-2</v>
      </c>
    </row>
    <row r="71" spans="1:14" ht="15.75" thickBot="1" x14ac:dyDescent="0.3">
      <c r="A71" s="54"/>
      <c r="B71" s="11" t="s">
        <v>15</v>
      </c>
      <c r="C71" s="24" t="s">
        <v>29</v>
      </c>
      <c r="D71" s="12" t="s">
        <v>75</v>
      </c>
      <c r="E71" s="30">
        <v>10.69</v>
      </c>
      <c r="F71" s="14">
        <f>E71/4</f>
        <v>2.6724999999999999</v>
      </c>
      <c r="G71" s="15">
        <f>F71*30</f>
        <v>80.174999999999997</v>
      </c>
      <c r="H71" s="16">
        <v>0</v>
      </c>
      <c r="I71" s="16">
        <f t="shared" si="17"/>
        <v>0</v>
      </c>
      <c r="J71" s="16">
        <f t="shared" si="18"/>
        <v>0</v>
      </c>
      <c r="K71" s="17">
        <f t="shared" si="19"/>
        <v>80.174999999999997</v>
      </c>
      <c r="L71" s="26">
        <v>125</v>
      </c>
      <c r="M71" s="23">
        <v>1.8</v>
      </c>
      <c r="N71" s="20">
        <v>7.0000000000000007E-2</v>
      </c>
    </row>
    <row r="72" spans="1:14" ht="15.75" thickBot="1" x14ac:dyDescent="0.3">
      <c r="A72" s="54"/>
      <c r="B72" s="11" t="s">
        <v>15</v>
      </c>
      <c r="C72" s="24" t="s">
        <v>47</v>
      </c>
      <c r="D72" s="12" t="s">
        <v>75</v>
      </c>
      <c r="E72" s="30">
        <v>75</v>
      </c>
      <c r="F72" s="14">
        <f t="shared" si="15"/>
        <v>15</v>
      </c>
      <c r="G72" s="15">
        <v>263</v>
      </c>
      <c r="H72" s="16">
        <v>0</v>
      </c>
      <c r="I72" s="16">
        <f t="shared" si="17"/>
        <v>0</v>
      </c>
      <c r="J72" s="16">
        <f t="shared" si="18"/>
        <v>0</v>
      </c>
      <c r="K72" s="17">
        <v>262.5</v>
      </c>
      <c r="L72" s="26">
        <v>200</v>
      </c>
      <c r="M72" s="23">
        <v>2.2999999999999998</v>
      </c>
      <c r="N72" s="20">
        <v>7.0000000000000007E-2</v>
      </c>
    </row>
    <row r="73" spans="1:14" ht="15.75" thickBot="1" x14ac:dyDescent="0.3">
      <c r="A73" s="54"/>
      <c r="B73" s="11" t="s">
        <v>15</v>
      </c>
      <c r="C73" s="56" t="s">
        <v>17</v>
      </c>
      <c r="D73" s="57"/>
      <c r="E73" s="30">
        <v>58.57</v>
      </c>
      <c r="F73" s="14">
        <f t="shared" si="15"/>
        <v>11.714</v>
      </c>
      <c r="G73" s="15">
        <v>205</v>
      </c>
      <c r="H73" s="16">
        <v>0</v>
      </c>
      <c r="I73" s="16">
        <f t="shared" si="17"/>
        <v>0</v>
      </c>
      <c r="J73" s="16">
        <f t="shared" si="18"/>
        <v>0</v>
      </c>
      <c r="K73" s="17">
        <v>204.995</v>
      </c>
      <c r="L73" s="26">
        <v>160</v>
      </c>
      <c r="M73" s="23">
        <v>2.8</v>
      </c>
      <c r="N73" s="20">
        <v>7.0000000000000007E-2</v>
      </c>
    </row>
    <row r="74" spans="1:14" ht="15.75" thickBot="1" x14ac:dyDescent="0.3">
      <c r="A74" s="54"/>
      <c r="B74" s="24" t="s">
        <v>18</v>
      </c>
      <c r="C74" s="24" t="s">
        <v>48</v>
      </c>
      <c r="D74" s="12" t="s">
        <v>75</v>
      </c>
      <c r="E74" s="30">
        <v>39.299999999999997</v>
      </c>
      <c r="F74" s="14">
        <f t="shared" si="15"/>
        <v>7.8599999999999994</v>
      </c>
      <c r="G74" s="15">
        <f t="shared" si="16"/>
        <v>196.5</v>
      </c>
      <c r="H74" s="16">
        <v>0</v>
      </c>
      <c r="I74" s="16">
        <f t="shared" si="17"/>
        <v>0</v>
      </c>
      <c r="J74" s="16">
        <f t="shared" si="18"/>
        <v>0</v>
      </c>
      <c r="K74" s="17">
        <v>137.55000000000001</v>
      </c>
      <c r="L74" s="26">
        <v>125</v>
      </c>
      <c r="M74" s="23">
        <v>3.1</v>
      </c>
      <c r="N74" s="20">
        <v>7.0000000000000007E-2</v>
      </c>
    </row>
    <row r="75" spans="1:14" ht="15.75" thickBot="1" x14ac:dyDescent="0.3">
      <c r="A75" s="54"/>
      <c r="B75" s="24" t="s">
        <v>18</v>
      </c>
      <c r="C75" s="24" t="s">
        <v>49</v>
      </c>
      <c r="D75" s="12" t="s">
        <v>75</v>
      </c>
      <c r="E75" s="30">
        <v>0</v>
      </c>
      <c r="F75" s="14">
        <f t="shared" si="15"/>
        <v>0</v>
      </c>
      <c r="G75" s="15">
        <f t="shared" si="16"/>
        <v>0</v>
      </c>
      <c r="H75" s="29">
        <v>21.02</v>
      </c>
      <c r="I75" s="16">
        <f t="shared" si="17"/>
        <v>10.51</v>
      </c>
      <c r="J75" s="16">
        <f t="shared" si="18"/>
        <v>315.3</v>
      </c>
      <c r="K75" s="17">
        <f t="shared" si="19"/>
        <v>315.3</v>
      </c>
      <c r="L75" s="26">
        <v>200</v>
      </c>
      <c r="M75" s="23">
        <v>2.8</v>
      </c>
      <c r="N75" s="20">
        <v>7.0000000000000007E-2</v>
      </c>
    </row>
    <row r="76" spans="1:14" ht="15.75" thickBot="1" x14ac:dyDescent="0.3">
      <c r="A76" s="54"/>
      <c r="B76" s="24" t="s">
        <v>18</v>
      </c>
      <c r="C76" s="24" t="s">
        <v>50</v>
      </c>
      <c r="D76" s="12" t="s">
        <v>75</v>
      </c>
      <c r="E76" s="30">
        <v>16.53</v>
      </c>
      <c r="F76" s="14">
        <f t="shared" si="15"/>
        <v>3.306</v>
      </c>
      <c r="G76" s="15">
        <f t="shared" si="16"/>
        <v>82.65</v>
      </c>
      <c r="H76" s="16">
        <v>0</v>
      </c>
      <c r="I76" s="16">
        <f t="shared" si="17"/>
        <v>0</v>
      </c>
      <c r="J76" s="16">
        <f t="shared" si="18"/>
        <v>0</v>
      </c>
      <c r="K76" s="17">
        <f t="shared" si="19"/>
        <v>82.65</v>
      </c>
      <c r="L76" s="26">
        <v>125</v>
      </c>
      <c r="M76" s="23">
        <v>1.9</v>
      </c>
      <c r="N76" s="20">
        <v>7.0000000000000007E-2</v>
      </c>
    </row>
    <row r="77" spans="1:14" ht="15.75" thickBot="1" x14ac:dyDescent="0.3">
      <c r="A77" s="54"/>
      <c r="B77" s="24" t="s">
        <v>18</v>
      </c>
      <c r="C77" s="24" t="s">
        <v>51</v>
      </c>
      <c r="D77" s="12" t="s">
        <v>75</v>
      </c>
      <c r="E77" s="30">
        <v>16.850000000000001</v>
      </c>
      <c r="F77" s="14">
        <f t="shared" si="15"/>
        <v>3.37</v>
      </c>
      <c r="G77" s="15">
        <f t="shared" si="16"/>
        <v>84.25</v>
      </c>
      <c r="H77" s="16">
        <v>0</v>
      </c>
      <c r="I77" s="16">
        <f t="shared" si="17"/>
        <v>0</v>
      </c>
      <c r="J77" s="16">
        <f t="shared" si="18"/>
        <v>0</v>
      </c>
      <c r="K77" s="17">
        <f t="shared" si="19"/>
        <v>84.25</v>
      </c>
      <c r="L77" s="26">
        <v>125</v>
      </c>
      <c r="M77" s="23">
        <v>1.9</v>
      </c>
      <c r="N77" s="20">
        <v>7.0000000000000007E-2</v>
      </c>
    </row>
    <row r="78" spans="1:14" ht="15.75" thickBot="1" x14ac:dyDescent="0.3">
      <c r="A78" s="54"/>
      <c r="B78" s="24" t="s">
        <v>18</v>
      </c>
      <c r="C78" s="24" t="s">
        <v>52</v>
      </c>
      <c r="D78" s="12" t="s">
        <v>75</v>
      </c>
      <c r="E78" s="30">
        <v>31.39</v>
      </c>
      <c r="F78" s="14">
        <f t="shared" si="15"/>
        <v>6.2780000000000005</v>
      </c>
      <c r="G78" s="15">
        <f t="shared" si="16"/>
        <v>156.95000000000002</v>
      </c>
      <c r="H78" s="16">
        <v>0</v>
      </c>
      <c r="I78" s="16">
        <f t="shared" si="17"/>
        <v>0</v>
      </c>
      <c r="J78" s="16">
        <f t="shared" si="18"/>
        <v>0</v>
      </c>
      <c r="K78" s="17">
        <f t="shared" si="19"/>
        <v>156.95000000000002</v>
      </c>
      <c r="L78" s="26">
        <v>160</v>
      </c>
      <c r="M78" s="23">
        <v>2.2000000000000002</v>
      </c>
      <c r="N78" s="20">
        <v>7.0000000000000007E-2</v>
      </c>
    </row>
    <row r="79" spans="1:14" ht="15.75" thickBot="1" x14ac:dyDescent="0.3">
      <c r="A79" s="54"/>
      <c r="B79" s="24" t="s">
        <v>18</v>
      </c>
      <c r="C79" s="24" t="s">
        <v>53</v>
      </c>
      <c r="D79" s="12" t="s">
        <v>75</v>
      </c>
      <c r="E79" s="30">
        <v>0</v>
      </c>
      <c r="F79" s="14">
        <f t="shared" si="15"/>
        <v>0</v>
      </c>
      <c r="G79" s="15">
        <f t="shared" si="16"/>
        <v>0</v>
      </c>
      <c r="H79" s="29">
        <v>31.91</v>
      </c>
      <c r="I79" s="16">
        <f t="shared" si="17"/>
        <v>15.955</v>
      </c>
      <c r="J79" s="16">
        <f t="shared" si="18"/>
        <v>478.65</v>
      </c>
      <c r="K79" s="17">
        <f t="shared" si="19"/>
        <v>478.65</v>
      </c>
      <c r="L79" s="26">
        <v>250</v>
      </c>
      <c r="M79" s="23">
        <v>2.7</v>
      </c>
      <c r="N79" s="20">
        <v>7.0000000000000007E-2</v>
      </c>
    </row>
    <row r="80" spans="1:14" ht="15.75" thickBot="1" x14ac:dyDescent="0.3">
      <c r="A80" s="54"/>
      <c r="B80" s="24" t="s">
        <v>18</v>
      </c>
      <c r="C80" s="24" t="s">
        <v>54</v>
      </c>
      <c r="D80" s="12" t="s">
        <v>75</v>
      </c>
      <c r="E80" s="30">
        <v>0</v>
      </c>
      <c r="F80" s="14">
        <f t="shared" si="15"/>
        <v>0</v>
      </c>
      <c r="G80" s="15">
        <f t="shared" si="16"/>
        <v>0</v>
      </c>
      <c r="H80" s="29">
        <v>94.46</v>
      </c>
      <c r="I80" s="16">
        <f t="shared" si="17"/>
        <v>47.23</v>
      </c>
      <c r="J80" s="16">
        <f t="shared" si="18"/>
        <v>1416.8999999999999</v>
      </c>
      <c r="K80" s="17">
        <v>1416.9</v>
      </c>
      <c r="L80" s="26">
        <v>355</v>
      </c>
      <c r="M80" s="23">
        <v>4</v>
      </c>
      <c r="N80" s="20">
        <v>7.0000000000000007E-2</v>
      </c>
    </row>
    <row r="81" spans="1:14" ht="15.75" thickBot="1" x14ac:dyDescent="0.3">
      <c r="A81" s="54"/>
      <c r="B81" s="24" t="s">
        <v>18</v>
      </c>
      <c r="C81" s="56" t="s">
        <v>22</v>
      </c>
      <c r="D81" s="57"/>
      <c r="E81" s="30">
        <v>33.54</v>
      </c>
      <c r="F81" s="14">
        <f t="shared" si="15"/>
        <v>6.7080000000000002</v>
      </c>
      <c r="G81" s="15">
        <v>117</v>
      </c>
      <c r="H81" s="16">
        <v>0</v>
      </c>
      <c r="I81" s="16">
        <f t="shared" si="17"/>
        <v>0</v>
      </c>
      <c r="J81" s="16">
        <f t="shared" si="18"/>
        <v>0</v>
      </c>
      <c r="K81" s="17">
        <v>117.39</v>
      </c>
      <c r="L81" s="26">
        <v>125</v>
      </c>
      <c r="M81" s="23">
        <v>2.6</v>
      </c>
      <c r="N81" s="20">
        <v>7.0000000000000007E-2</v>
      </c>
    </row>
    <row r="86" spans="1:14" ht="15.75" thickBot="1" x14ac:dyDescent="0.3"/>
    <row r="87" spans="1:14" ht="15.75" thickBot="1" x14ac:dyDescent="0.3">
      <c r="A87" s="53" t="s">
        <v>55</v>
      </c>
      <c r="B87" s="11" t="s">
        <v>15</v>
      </c>
      <c r="C87" s="24" t="s">
        <v>56</v>
      </c>
      <c r="D87" s="12" t="s">
        <v>75</v>
      </c>
      <c r="E87" s="30">
        <v>156.44</v>
      </c>
      <c r="F87" s="14">
        <f t="shared" ref="F87:F100" si="20">E87/5</f>
        <v>31.288</v>
      </c>
      <c r="G87" s="15">
        <f t="shared" ref="G87:G99" si="21">F87*25</f>
        <v>782.2</v>
      </c>
      <c r="H87" s="16">
        <v>0</v>
      </c>
      <c r="I87" s="16">
        <f t="shared" ref="I87:I100" si="22">H87/2</f>
        <v>0</v>
      </c>
      <c r="J87" s="16">
        <f t="shared" ref="J87:J100" si="23">I87*30</f>
        <v>0</v>
      </c>
      <c r="K87" s="17">
        <f t="shared" ref="K87:K99" si="24">J87+G87</f>
        <v>782.2</v>
      </c>
      <c r="L87" s="26">
        <v>315</v>
      </c>
      <c r="M87" s="23">
        <v>2.8</v>
      </c>
      <c r="N87" s="20">
        <v>7.0000000000000007E-2</v>
      </c>
    </row>
    <row r="88" spans="1:14" ht="15.75" thickBot="1" x14ac:dyDescent="0.3">
      <c r="A88" s="54"/>
      <c r="B88" s="11" t="s">
        <v>15</v>
      </c>
      <c r="C88" s="24" t="s">
        <v>56</v>
      </c>
      <c r="D88" s="12" t="s">
        <v>75</v>
      </c>
      <c r="E88" s="30">
        <v>149.08000000000001</v>
      </c>
      <c r="F88" s="14">
        <f t="shared" si="20"/>
        <v>29.816000000000003</v>
      </c>
      <c r="G88" s="15">
        <f t="shared" si="21"/>
        <v>745.40000000000009</v>
      </c>
      <c r="H88" s="16">
        <v>0</v>
      </c>
      <c r="I88" s="16">
        <f t="shared" si="22"/>
        <v>0</v>
      </c>
      <c r="J88" s="16">
        <f t="shared" si="23"/>
        <v>0</v>
      </c>
      <c r="K88" s="17">
        <f t="shared" si="24"/>
        <v>745.40000000000009</v>
      </c>
      <c r="L88" s="26">
        <v>315</v>
      </c>
      <c r="M88" s="23">
        <v>2.7</v>
      </c>
      <c r="N88" s="20">
        <v>7.0000000000000007E-2</v>
      </c>
    </row>
    <row r="89" spans="1:14" ht="15.75" thickBot="1" x14ac:dyDescent="0.3">
      <c r="A89" s="54"/>
      <c r="B89" s="11" t="s">
        <v>15</v>
      </c>
      <c r="C89" s="24" t="s">
        <v>56</v>
      </c>
      <c r="D89" s="12" t="s">
        <v>75</v>
      </c>
      <c r="E89" s="30">
        <v>65.28</v>
      </c>
      <c r="F89" s="14">
        <f t="shared" si="20"/>
        <v>13.056000000000001</v>
      </c>
      <c r="G89" s="15">
        <f t="shared" si="21"/>
        <v>326.40000000000003</v>
      </c>
      <c r="H89" s="16">
        <v>0</v>
      </c>
      <c r="I89" s="16">
        <f t="shared" si="22"/>
        <v>0</v>
      </c>
      <c r="J89" s="16">
        <f t="shared" si="23"/>
        <v>0</v>
      </c>
      <c r="K89" s="17">
        <f t="shared" si="24"/>
        <v>326.40000000000003</v>
      </c>
      <c r="L89" s="26">
        <v>200</v>
      </c>
      <c r="M89" s="23">
        <v>2.9</v>
      </c>
      <c r="N89" s="20">
        <v>7.0000000000000007E-2</v>
      </c>
    </row>
    <row r="90" spans="1:14" ht="15.75" thickBot="1" x14ac:dyDescent="0.3">
      <c r="A90" s="54"/>
      <c r="B90" s="11" t="s">
        <v>15</v>
      </c>
      <c r="C90" s="24" t="s">
        <v>57</v>
      </c>
      <c r="D90" s="12" t="s">
        <v>75</v>
      </c>
      <c r="E90" s="30">
        <v>0</v>
      </c>
      <c r="F90" s="14">
        <f t="shared" si="20"/>
        <v>0</v>
      </c>
      <c r="G90" s="15">
        <f t="shared" si="21"/>
        <v>0</v>
      </c>
      <c r="H90" s="29">
        <v>23.05</v>
      </c>
      <c r="I90" s="16">
        <f t="shared" si="22"/>
        <v>11.525</v>
      </c>
      <c r="J90" s="16">
        <f t="shared" si="23"/>
        <v>345.75</v>
      </c>
      <c r="K90" s="17">
        <f t="shared" si="24"/>
        <v>345.75</v>
      </c>
      <c r="L90" s="26">
        <v>200</v>
      </c>
      <c r="M90" s="23">
        <v>3.1</v>
      </c>
      <c r="N90" s="20">
        <v>7.0000000000000007E-2</v>
      </c>
    </row>
    <row r="91" spans="1:14" ht="15.75" thickBot="1" x14ac:dyDescent="0.3">
      <c r="A91" s="54"/>
      <c r="B91" s="11" t="s">
        <v>15</v>
      </c>
      <c r="C91" s="24" t="s">
        <v>57</v>
      </c>
      <c r="D91" s="12" t="s">
        <v>75</v>
      </c>
      <c r="E91" s="30">
        <v>0</v>
      </c>
      <c r="F91" s="14">
        <f t="shared" si="20"/>
        <v>0</v>
      </c>
      <c r="G91" s="15">
        <f t="shared" si="21"/>
        <v>0</v>
      </c>
      <c r="H91" s="29">
        <v>21.27</v>
      </c>
      <c r="I91" s="16">
        <f t="shared" si="22"/>
        <v>10.635</v>
      </c>
      <c r="J91" s="16">
        <f t="shared" si="23"/>
        <v>319.05</v>
      </c>
      <c r="K91" s="17">
        <f t="shared" si="24"/>
        <v>319.05</v>
      </c>
      <c r="L91" s="26">
        <v>200</v>
      </c>
      <c r="M91" s="23">
        <v>2.8</v>
      </c>
      <c r="N91" s="20">
        <v>7.0000000000000007E-2</v>
      </c>
    </row>
    <row r="92" spans="1:14" ht="15.75" thickBot="1" x14ac:dyDescent="0.3">
      <c r="A92" s="54"/>
      <c r="B92" s="11" t="s">
        <v>15</v>
      </c>
      <c r="C92" s="24" t="s">
        <v>58</v>
      </c>
      <c r="D92" s="12" t="s">
        <v>75</v>
      </c>
      <c r="E92" s="30">
        <v>0</v>
      </c>
      <c r="F92" s="14">
        <f t="shared" si="20"/>
        <v>0</v>
      </c>
      <c r="G92" s="15">
        <f t="shared" si="21"/>
        <v>0</v>
      </c>
      <c r="H92" s="29">
        <v>20.43</v>
      </c>
      <c r="I92" s="16">
        <f t="shared" si="22"/>
        <v>10.215</v>
      </c>
      <c r="J92" s="16">
        <f t="shared" si="23"/>
        <v>306.45</v>
      </c>
      <c r="K92" s="17">
        <f>J92+G92</f>
        <v>306.45</v>
      </c>
      <c r="L92" s="26">
        <v>200</v>
      </c>
      <c r="M92" s="23">
        <v>2.7</v>
      </c>
      <c r="N92" s="20">
        <v>7.0000000000000007E-2</v>
      </c>
    </row>
    <row r="93" spans="1:14" ht="15.75" thickBot="1" x14ac:dyDescent="0.3">
      <c r="A93" s="54"/>
      <c r="B93" s="11" t="s">
        <v>15</v>
      </c>
      <c r="C93" s="56" t="s">
        <v>17</v>
      </c>
      <c r="D93" s="57"/>
      <c r="E93" s="30">
        <v>51.2</v>
      </c>
      <c r="F93" s="14">
        <f t="shared" si="20"/>
        <v>10.24</v>
      </c>
      <c r="G93" s="15">
        <v>179</v>
      </c>
      <c r="H93" s="16">
        <v>0</v>
      </c>
      <c r="I93" s="16">
        <f t="shared" si="22"/>
        <v>0</v>
      </c>
      <c r="J93" s="16">
        <f t="shared" si="23"/>
        <v>0</v>
      </c>
      <c r="K93" s="17">
        <v>179.2</v>
      </c>
      <c r="L93" s="26">
        <v>160</v>
      </c>
      <c r="M93" s="23">
        <v>2.5</v>
      </c>
      <c r="N93" s="20">
        <v>7.0000000000000007E-2</v>
      </c>
    </row>
    <row r="94" spans="1:14" ht="15.75" thickBot="1" x14ac:dyDescent="0.3">
      <c r="A94" s="54"/>
      <c r="B94" s="24" t="s">
        <v>18</v>
      </c>
      <c r="C94" s="24" t="s">
        <v>19</v>
      </c>
      <c r="D94" s="12" t="s">
        <v>75</v>
      </c>
      <c r="E94" s="30">
        <v>43.98</v>
      </c>
      <c r="F94" s="14">
        <f t="shared" si="20"/>
        <v>8.7959999999999994</v>
      </c>
      <c r="G94" s="15">
        <v>154</v>
      </c>
      <c r="H94" s="16">
        <v>0</v>
      </c>
      <c r="I94" s="16">
        <f t="shared" si="22"/>
        <v>0</v>
      </c>
      <c r="J94" s="16">
        <f t="shared" si="23"/>
        <v>0</v>
      </c>
      <c r="K94" s="17">
        <v>153.93</v>
      </c>
      <c r="L94" s="26">
        <v>160</v>
      </c>
      <c r="M94" s="23">
        <v>2.1</v>
      </c>
      <c r="N94" s="20">
        <v>7.0000000000000007E-2</v>
      </c>
    </row>
    <row r="95" spans="1:14" ht="15.75" thickBot="1" x14ac:dyDescent="0.3">
      <c r="A95" s="54"/>
      <c r="B95" s="24" t="s">
        <v>18</v>
      </c>
      <c r="C95" s="24" t="s">
        <v>29</v>
      </c>
      <c r="D95" s="12" t="s">
        <v>75</v>
      </c>
      <c r="E95" s="30">
        <v>16.149999999999999</v>
      </c>
      <c r="F95" s="14">
        <f>E95/4</f>
        <v>4.0374999999999996</v>
      </c>
      <c r="G95" s="15">
        <f>F95*30</f>
        <v>121.12499999999999</v>
      </c>
      <c r="H95" s="16">
        <v>0</v>
      </c>
      <c r="I95" s="16">
        <f t="shared" si="22"/>
        <v>0</v>
      </c>
      <c r="J95" s="16">
        <f t="shared" si="23"/>
        <v>0</v>
      </c>
      <c r="K95" s="17">
        <f>J95+G95</f>
        <v>121.12499999999999</v>
      </c>
      <c r="L95" s="26">
        <v>125</v>
      </c>
      <c r="M95" s="23">
        <v>2.7</v>
      </c>
      <c r="N95" s="20">
        <v>7.0000000000000007E-2</v>
      </c>
    </row>
    <row r="96" spans="1:14" ht="15.75" thickBot="1" x14ac:dyDescent="0.3">
      <c r="A96" s="54"/>
      <c r="B96" s="24" t="s">
        <v>18</v>
      </c>
      <c r="C96" s="24" t="s">
        <v>59</v>
      </c>
      <c r="D96" s="12" t="s">
        <v>75</v>
      </c>
      <c r="E96" s="30">
        <v>0</v>
      </c>
      <c r="F96" s="14">
        <f t="shared" si="20"/>
        <v>0</v>
      </c>
      <c r="G96" s="15">
        <f t="shared" si="21"/>
        <v>0</v>
      </c>
      <c r="H96" s="29">
        <v>18.2</v>
      </c>
      <c r="I96" s="16">
        <f t="shared" si="22"/>
        <v>9.1</v>
      </c>
      <c r="J96" s="16">
        <f t="shared" si="23"/>
        <v>273</v>
      </c>
      <c r="K96" s="17">
        <f t="shared" si="24"/>
        <v>273</v>
      </c>
      <c r="L96" s="26">
        <v>200</v>
      </c>
      <c r="M96" s="23">
        <v>2.4</v>
      </c>
      <c r="N96" s="20">
        <v>7.0000000000000007E-2</v>
      </c>
    </row>
    <row r="97" spans="1:14" ht="15.75" thickBot="1" x14ac:dyDescent="0.3">
      <c r="A97" s="54"/>
      <c r="B97" s="24" t="s">
        <v>18</v>
      </c>
      <c r="C97" s="24" t="s">
        <v>60</v>
      </c>
      <c r="D97" s="12" t="s">
        <v>75</v>
      </c>
      <c r="E97" s="30">
        <v>0</v>
      </c>
      <c r="F97" s="14">
        <f t="shared" si="20"/>
        <v>0</v>
      </c>
      <c r="G97" s="15">
        <f t="shared" si="21"/>
        <v>0</v>
      </c>
      <c r="H97" s="29">
        <v>21.19</v>
      </c>
      <c r="I97" s="16">
        <f t="shared" si="22"/>
        <v>10.595000000000001</v>
      </c>
      <c r="J97" s="16">
        <f t="shared" si="23"/>
        <v>317.85000000000002</v>
      </c>
      <c r="K97" s="17">
        <f t="shared" si="24"/>
        <v>317.85000000000002</v>
      </c>
      <c r="L97" s="26">
        <v>200</v>
      </c>
      <c r="M97" s="23">
        <v>2.8</v>
      </c>
      <c r="N97" s="20">
        <v>7.0000000000000007E-2</v>
      </c>
    </row>
    <row r="98" spans="1:14" ht="15.75" thickBot="1" x14ac:dyDescent="0.3">
      <c r="A98" s="54"/>
      <c r="B98" s="24" t="s">
        <v>18</v>
      </c>
      <c r="C98" s="24" t="s">
        <v>61</v>
      </c>
      <c r="D98" s="12" t="s">
        <v>75</v>
      </c>
      <c r="E98" s="30">
        <v>47.12</v>
      </c>
      <c r="F98" s="14">
        <f t="shared" si="20"/>
        <v>9.4239999999999995</v>
      </c>
      <c r="G98" s="15">
        <f t="shared" si="21"/>
        <v>235.6</v>
      </c>
      <c r="H98" s="16">
        <v>0</v>
      </c>
      <c r="I98" s="16">
        <f t="shared" si="22"/>
        <v>0</v>
      </c>
      <c r="J98" s="16">
        <f t="shared" si="23"/>
        <v>0</v>
      </c>
      <c r="K98" s="17">
        <f t="shared" si="24"/>
        <v>235.6</v>
      </c>
      <c r="L98" s="26">
        <v>200</v>
      </c>
      <c r="M98" s="23">
        <v>2.1</v>
      </c>
      <c r="N98" s="20">
        <v>7.0000000000000007E-2</v>
      </c>
    </row>
    <row r="99" spans="1:14" ht="15.75" thickBot="1" x14ac:dyDescent="0.3">
      <c r="A99" s="54"/>
      <c r="B99" s="24" t="s">
        <v>18</v>
      </c>
      <c r="C99" s="24" t="s">
        <v>62</v>
      </c>
      <c r="D99" s="12" t="s">
        <v>75</v>
      </c>
      <c r="E99" s="30">
        <v>157.57</v>
      </c>
      <c r="F99" s="14">
        <f t="shared" si="20"/>
        <v>31.513999999999999</v>
      </c>
      <c r="G99" s="15">
        <f t="shared" si="21"/>
        <v>787.85</v>
      </c>
      <c r="H99" s="16">
        <v>0</v>
      </c>
      <c r="I99" s="16">
        <f t="shared" si="22"/>
        <v>0</v>
      </c>
      <c r="J99" s="16">
        <f t="shared" si="23"/>
        <v>0</v>
      </c>
      <c r="K99" s="17">
        <f t="shared" si="24"/>
        <v>787.85</v>
      </c>
      <c r="L99" s="26">
        <v>315</v>
      </c>
      <c r="M99" s="23">
        <v>2.8</v>
      </c>
      <c r="N99" s="20">
        <v>7.0000000000000007E-2</v>
      </c>
    </row>
    <row r="100" spans="1:14" ht="15.75" thickBot="1" x14ac:dyDescent="0.3">
      <c r="A100" s="54"/>
      <c r="B100" s="24" t="s">
        <v>18</v>
      </c>
      <c r="C100" s="56" t="s">
        <v>22</v>
      </c>
      <c r="D100" s="57"/>
      <c r="E100" s="30">
        <v>39.01</v>
      </c>
      <c r="F100" s="14">
        <f t="shared" si="20"/>
        <v>7.8019999999999996</v>
      </c>
      <c r="G100" s="15">
        <v>137</v>
      </c>
      <c r="H100" s="16">
        <v>0</v>
      </c>
      <c r="I100" s="16">
        <f t="shared" si="22"/>
        <v>0</v>
      </c>
      <c r="J100" s="16">
        <f t="shared" si="23"/>
        <v>0</v>
      </c>
      <c r="K100" s="17">
        <v>136.535</v>
      </c>
      <c r="L100" s="26">
        <v>125</v>
      </c>
      <c r="M100" s="23">
        <v>3.1</v>
      </c>
      <c r="N100" s="20">
        <v>7.0000000000000007E-2</v>
      </c>
    </row>
    <row r="105" spans="1:14" ht="15.75" thickBot="1" x14ac:dyDescent="0.3"/>
    <row r="106" spans="1:14" ht="15.75" thickBot="1" x14ac:dyDescent="0.3">
      <c r="A106" s="53" t="s">
        <v>63</v>
      </c>
      <c r="B106" s="11" t="s">
        <v>15</v>
      </c>
      <c r="C106" s="24" t="s">
        <v>56</v>
      </c>
      <c r="D106" s="12" t="s">
        <v>75</v>
      </c>
      <c r="E106" s="30">
        <v>154.71</v>
      </c>
      <c r="F106" s="14">
        <f t="shared" ref="F106:F119" si="25">E106/5</f>
        <v>30.942</v>
      </c>
      <c r="G106" s="15">
        <f t="shared" ref="G106:G118" si="26">F106*25</f>
        <v>773.55</v>
      </c>
      <c r="H106" s="16">
        <v>0</v>
      </c>
      <c r="I106" s="16">
        <f t="shared" ref="I106:I119" si="27">H106/2</f>
        <v>0</v>
      </c>
      <c r="J106" s="16">
        <f t="shared" ref="J106:J119" si="28">I106*30</f>
        <v>0</v>
      </c>
      <c r="K106" s="17">
        <f t="shared" ref="K106:K118" si="29">J106+G106</f>
        <v>773.55</v>
      </c>
      <c r="L106" s="26">
        <v>315</v>
      </c>
      <c r="M106" s="23">
        <v>2.8</v>
      </c>
      <c r="N106" s="20">
        <v>7.0000000000000007E-2</v>
      </c>
    </row>
    <row r="107" spans="1:14" ht="15.75" thickBot="1" x14ac:dyDescent="0.3">
      <c r="A107" s="54"/>
      <c r="B107" s="11" t="s">
        <v>15</v>
      </c>
      <c r="C107" s="24" t="s">
        <v>56</v>
      </c>
      <c r="D107" s="12" t="s">
        <v>75</v>
      </c>
      <c r="E107" s="30">
        <v>149.33000000000001</v>
      </c>
      <c r="F107" s="14">
        <f t="shared" si="25"/>
        <v>29.866000000000003</v>
      </c>
      <c r="G107" s="15">
        <f t="shared" si="26"/>
        <v>746.65000000000009</v>
      </c>
      <c r="H107" s="16">
        <v>0</v>
      </c>
      <c r="I107" s="16">
        <f t="shared" si="27"/>
        <v>0</v>
      </c>
      <c r="J107" s="16">
        <f t="shared" si="28"/>
        <v>0</v>
      </c>
      <c r="K107" s="17">
        <f t="shared" si="29"/>
        <v>746.65000000000009</v>
      </c>
      <c r="L107" s="26">
        <v>315</v>
      </c>
      <c r="M107" s="23">
        <v>2.7</v>
      </c>
      <c r="N107" s="20">
        <v>7.0000000000000007E-2</v>
      </c>
    </row>
    <row r="108" spans="1:14" ht="15.75" thickBot="1" x14ac:dyDescent="0.3">
      <c r="A108" s="54"/>
      <c r="B108" s="11" t="s">
        <v>15</v>
      </c>
      <c r="C108" s="24" t="s">
        <v>56</v>
      </c>
      <c r="D108" s="12" t="s">
        <v>75</v>
      </c>
      <c r="E108" s="30">
        <v>65.040000000000006</v>
      </c>
      <c r="F108" s="14">
        <f t="shared" si="25"/>
        <v>13.008000000000001</v>
      </c>
      <c r="G108" s="15">
        <f t="shared" si="26"/>
        <v>325.20000000000005</v>
      </c>
      <c r="H108" s="16">
        <v>0</v>
      </c>
      <c r="I108" s="16">
        <f t="shared" si="27"/>
        <v>0</v>
      </c>
      <c r="J108" s="16">
        <f t="shared" si="28"/>
        <v>0</v>
      </c>
      <c r="K108" s="17">
        <f t="shared" si="29"/>
        <v>325.20000000000005</v>
      </c>
      <c r="L108" s="26">
        <v>200</v>
      </c>
      <c r="M108" s="23">
        <v>2.9</v>
      </c>
      <c r="N108" s="20">
        <v>7.0000000000000007E-2</v>
      </c>
    </row>
    <row r="109" spans="1:14" ht="15.75" thickBot="1" x14ac:dyDescent="0.3">
      <c r="A109" s="54"/>
      <c r="B109" s="11" t="s">
        <v>15</v>
      </c>
      <c r="C109" s="24" t="s">
        <v>57</v>
      </c>
      <c r="D109" s="12" t="s">
        <v>75</v>
      </c>
      <c r="E109" s="30">
        <v>0</v>
      </c>
      <c r="F109" s="14">
        <f t="shared" si="25"/>
        <v>0</v>
      </c>
      <c r="G109" s="15">
        <f t="shared" si="26"/>
        <v>0</v>
      </c>
      <c r="H109" s="29">
        <v>22.64</v>
      </c>
      <c r="I109" s="16">
        <f t="shared" si="27"/>
        <v>11.32</v>
      </c>
      <c r="J109" s="16">
        <f t="shared" si="28"/>
        <v>339.6</v>
      </c>
      <c r="K109" s="17">
        <f t="shared" si="29"/>
        <v>339.6</v>
      </c>
      <c r="L109" s="26">
        <v>200</v>
      </c>
      <c r="M109" s="23">
        <v>3</v>
      </c>
      <c r="N109" s="20">
        <v>7.0000000000000007E-2</v>
      </c>
    </row>
    <row r="110" spans="1:14" ht="15.75" thickBot="1" x14ac:dyDescent="0.3">
      <c r="A110" s="54"/>
      <c r="B110" s="11" t="s">
        <v>15</v>
      </c>
      <c r="C110" s="24" t="s">
        <v>58</v>
      </c>
      <c r="D110" s="12" t="s">
        <v>75</v>
      </c>
      <c r="E110" s="30">
        <v>0</v>
      </c>
      <c r="F110" s="14">
        <f t="shared" si="25"/>
        <v>0</v>
      </c>
      <c r="G110" s="15">
        <f t="shared" si="26"/>
        <v>0</v>
      </c>
      <c r="H110" s="29">
        <v>20.07</v>
      </c>
      <c r="I110" s="16">
        <f t="shared" si="27"/>
        <v>10.035</v>
      </c>
      <c r="J110" s="16">
        <f t="shared" si="28"/>
        <v>301.05</v>
      </c>
      <c r="K110" s="17">
        <f t="shared" si="29"/>
        <v>301.05</v>
      </c>
      <c r="L110" s="26">
        <v>200</v>
      </c>
      <c r="M110" s="23">
        <v>2.7</v>
      </c>
      <c r="N110" s="20">
        <v>7.0000000000000007E-2</v>
      </c>
    </row>
    <row r="111" spans="1:14" ht="15.75" thickBot="1" x14ac:dyDescent="0.3">
      <c r="A111" s="54"/>
      <c r="B111" s="11" t="s">
        <v>15</v>
      </c>
      <c r="C111" s="24" t="s">
        <v>57</v>
      </c>
      <c r="D111" s="12" t="s">
        <v>75</v>
      </c>
      <c r="E111" s="30">
        <v>0</v>
      </c>
      <c r="F111" s="14">
        <f t="shared" si="25"/>
        <v>0</v>
      </c>
      <c r="G111" s="15">
        <f t="shared" si="26"/>
        <v>0</v>
      </c>
      <c r="H111" s="29">
        <v>21.06</v>
      </c>
      <c r="I111" s="16">
        <f t="shared" si="27"/>
        <v>10.53</v>
      </c>
      <c r="J111" s="16">
        <f t="shared" si="28"/>
        <v>315.89999999999998</v>
      </c>
      <c r="K111" s="17">
        <f t="shared" si="29"/>
        <v>315.89999999999998</v>
      </c>
      <c r="L111" s="26">
        <v>200</v>
      </c>
      <c r="M111" s="23">
        <v>2.8</v>
      </c>
      <c r="N111" s="20">
        <v>7.0000000000000007E-2</v>
      </c>
    </row>
    <row r="112" spans="1:14" ht="15.75" thickBot="1" x14ac:dyDescent="0.3">
      <c r="A112" s="54"/>
      <c r="B112" s="11" t="s">
        <v>15</v>
      </c>
      <c r="C112" s="56" t="s">
        <v>17</v>
      </c>
      <c r="D112" s="57"/>
      <c r="E112" s="30">
        <v>54.12</v>
      </c>
      <c r="F112" s="14">
        <f t="shared" si="25"/>
        <v>10.824</v>
      </c>
      <c r="G112" s="15">
        <v>189</v>
      </c>
      <c r="H112" s="16">
        <v>0</v>
      </c>
      <c r="I112" s="16">
        <f t="shared" si="27"/>
        <v>0</v>
      </c>
      <c r="J112" s="16">
        <f t="shared" si="28"/>
        <v>0</v>
      </c>
      <c r="K112" s="17">
        <v>189.42</v>
      </c>
      <c r="L112" s="26">
        <v>160</v>
      </c>
      <c r="M112" s="23">
        <v>2.6</v>
      </c>
      <c r="N112" s="20">
        <v>7.0000000000000007E-2</v>
      </c>
    </row>
    <row r="113" spans="1:14" ht="15.75" thickBot="1" x14ac:dyDescent="0.3">
      <c r="A113" s="54"/>
      <c r="B113" s="24" t="s">
        <v>18</v>
      </c>
      <c r="C113" s="24" t="s">
        <v>19</v>
      </c>
      <c r="D113" s="12" t="s">
        <v>75</v>
      </c>
      <c r="E113" s="30">
        <v>42.71</v>
      </c>
      <c r="F113" s="14">
        <f t="shared" si="25"/>
        <v>8.5419999999999998</v>
      </c>
      <c r="G113" s="15">
        <v>149</v>
      </c>
      <c r="H113" s="16">
        <v>0</v>
      </c>
      <c r="I113" s="16">
        <f t="shared" si="27"/>
        <v>0</v>
      </c>
      <c r="J113" s="16">
        <f t="shared" si="28"/>
        <v>0</v>
      </c>
      <c r="K113" s="17">
        <v>149.47999999999999</v>
      </c>
      <c r="L113" s="26">
        <v>160</v>
      </c>
      <c r="M113" s="23">
        <v>2.1</v>
      </c>
      <c r="N113" s="20">
        <v>7.0000000000000007E-2</v>
      </c>
    </row>
    <row r="114" spans="1:14" ht="15.75" thickBot="1" x14ac:dyDescent="0.3">
      <c r="A114" s="54"/>
      <c r="B114" s="24" t="s">
        <v>18</v>
      </c>
      <c r="C114" s="24" t="s">
        <v>29</v>
      </c>
      <c r="D114" s="12" t="s">
        <v>75</v>
      </c>
      <c r="E114" s="30">
        <v>16.55</v>
      </c>
      <c r="F114" s="14">
        <f>E114/4</f>
        <v>4.1375000000000002</v>
      </c>
      <c r="G114" s="15">
        <f>F114*30</f>
        <v>124.125</v>
      </c>
      <c r="H114" s="16">
        <v>0</v>
      </c>
      <c r="I114" s="16">
        <f t="shared" si="27"/>
        <v>0</v>
      </c>
      <c r="J114" s="16">
        <f t="shared" si="28"/>
        <v>0</v>
      </c>
      <c r="K114" s="17">
        <f t="shared" si="29"/>
        <v>124.125</v>
      </c>
      <c r="L114" s="26">
        <v>125</v>
      </c>
      <c r="M114" s="23">
        <v>2.8</v>
      </c>
      <c r="N114" s="20">
        <v>7.0000000000000007E-2</v>
      </c>
    </row>
    <row r="115" spans="1:14" ht="15.75" thickBot="1" x14ac:dyDescent="0.3">
      <c r="A115" s="54"/>
      <c r="B115" s="24" t="s">
        <v>18</v>
      </c>
      <c r="C115" s="24" t="s">
        <v>64</v>
      </c>
      <c r="D115" s="12" t="s">
        <v>75</v>
      </c>
      <c r="E115" s="30">
        <v>47.45</v>
      </c>
      <c r="F115" s="14">
        <f t="shared" si="25"/>
        <v>9.49</v>
      </c>
      <c r="G115" s="15">
        <f t="shared" si="26"/>
        <v>237.25</v>
      </c>
      <c r="H115" s="16">
        <v>0</v>
      </c>
      <c r="I115" s="16">
        <f t="shared" si="27"/>
        <v>0</v>
      </c>
      <c r="J115" s="16">
        <f t="shared" si="28"/>
        <v>0</v>
      </c>
      <c r="K115" s="17">
        <f t="shared" si="29"/>
        <v>237.25</v>
      </c>
      <c r="L115" s="26">
        <v>200</v>
      </c>
      <c r="M115" s="23">
        <v>2.1</v>
      </c>
      <c r="N115" s="20">
        <v>7.0000000000000007E-2</v>
      </c>
    </row>
    <row r="116" spans="1:14" ht="15.75" thickBot="1" x14ac:dyDescent="0.3">
      <c r="A116" s="54"/>
      <c r="B116" s="24" t="s">
        <v>18</v>
      </c>
      <c r="C116" s="24" t="s">
        <v>65</v>
      </c>
      <c r="D116" s="12" t="s">
        <v>75</v>
      </c>
      <c r="E116" s="30">
        <v>0</v>
      </c>
      <c r="F116" s="14">
        <f t="shared" si="25"/>
        <v>0</v>
      </c>
      <c r="G116" s="15">
        <f t="shared" si="26"/>
        <v>0</v>
      </c>
      <c r="H116" s="29">
        <v>18.260000000000002</v>
      </c>
      <c r="I116" s="16">
        <f t="shared" si="27"/>
        <v>9.1300000000000008</v>
      </c>
      <c r="J116" s="16">
        <f t="shared" si="28"/>
        <v>273.90000000000003</v>
      </c>
      <c r="K116" s="17">
        <f t="shared" si="29"/>
        <v>273.90000000000003</v>
      </c>
      <c r="L116" s="26">
        <v>200</v>
      </c>
      <c r="M116" s="23">
        <v>2.4</v>
      </c>
      <c r="N116" s="20">
        <v>7.0000000000000007E-2</v>
      </c>
    </row>
    <row r="117" spans="1:14" ht="15.75" thickBot="1" x14ac:dyDescent="0.3">
      <c r="A117" s="54"/>
      <c r="B117" s="24" t="s">
        <v>18</v>
      </c>
      <c r="C117" s="24" t="s">
        <v>66</v>
      </c>
      <c r="D117" s="12" t="s">
        <v>75</v>
      </c>
      <c r="E117" s="30">
        <v>0</v>
      </c>
      <c r="F117" s="14">
        <f t="shared" si="25"/>
        <v>0</v>
      </c>
      <c r="G117" s="15">
        <f t="shared" si="26"/>
        <v>0</v>
      </c>
      <c r="H117" s="29">
        <v>21.12</v>
      </c>
      <c r="I117" s="16">
        <f t="shared" si="27"/>
        <v>10.56</v>
      </c>
      <c r="J117" s="16">
        <f t="shared" si="28"/>
        <v>316.8</v>
      </c>
      <c r="K117" s="17">
        <f t="shared" si="29"/>
        <v>316.8</v>
      </c>
      <c r="L117" s="26">
        <v>200</v>
      </c>
      <c r="M117" s="23">
        <v>2.8</v>
      </c>
      <c r="N117" s="20">
        <v>7.0000000000000007E-2</v>
      </c>
    </row>
    <row r="118" spans="1:14" ht="15.75" thickBot="1" x14ac:dyDescent="0.3">
      <c r="A118" s="54"/>
      <c r="B118" s="24" t="s">
        <v>18</v>
      </c>
      <c r="C118" s="24" t="s">
        <v>67</v>
      </c>
      <c r="D118" s="12" t="s">
        <v>75</v>
      </c>
      <c r="E118" s="30">
        <v>154.1</v>
      </c>
      <c r="F118" s="14">
        <f t="shared" si="25"/>
        <v>30.82</v>
      </c>
      <c r="G118" s="15">
        <f t="shared" si="26"/>
        <v>770.5</v>
      </c>
      <c r="H118" s="16">
        <v>0</v>
      </c>
      <c r="I118" s="16">
        <f t="shared" si="27"/>
        <v>0</v>
      </c>
      <c r="J118" s="16">
        <f t="shared" si="28"/>
        <v>0</v>
      </c>
      <c r="K118" s="17">
        <f t="shared" si="29"/>
        <v>770.5</v>
      </c>
      <c r="L118" s="26">
        <v>315</v>
      </c>
      <c r="M118" s="23">
        <v>2.7</v>
      </c>
      <c r="N118" s="20">
        <v>7.0000000000000007E-2</v>
      </c>
    </row>
    <row r="119" spans="1:14" ht="15.75" thickBot="1" x14ac:dyDescent="0.3">
      <c r="A119" s="54"/>
      <c r="B119" s="24" t="s">
        <v>18</v>
      </c>
      <c r="C119" s="56" t="s">
        <v>22</v>
      </c>
      <c r="D119" s="57"/>
      <c r="E119" s="30">
        <v>39.69</v>
      </c>
      <c r="F119" s="14">
        <f t="shared" si="25"/>
        <v>7.9379999999999997</v>
      </c>
      <c r="G119" s="15">
        <v>139</v>
      </c>
      <c r="H119" s="16">
        <v>0</v>
      </c>
      <c r="I119" s="16">
        <f t="shared" si="27"/>
        <v>0</v>
      </c>
      <c r="J119" s="16">
        <f t="shared" si="28"/>
        <v>0</v>
      </c>
      <c r="K119" s="17">
        <v>138.91499999999999</v>
      </c>
      <c r="L119" s="26">
        <v>125</v>
      </c>
      <c r="M119" s="23">
        <v>3.1</v>
      </c>
      <c r="N119" s="20">
        <v>7.0000000000000007E-2</v>
      </c>
    </row>
    <row r="124" spans="1:14" ht="15.75" thickBot="1" x14ac:dyDescent="0.3"/>
    <row r="125" spans="1:14" ht="15.75" thickBot="1" x14ac:dyDescent="0.3">
      <c r="A125" s="53" t="s">
        <v>68</v>
      </c>
      <c r="B125" s="11" t="s">
        <v>15</v>
      </c>
      <c r="C125" s="24" t="s">
        <v>69</v>
      </c>
      <c r="D125" s="12" t="s">
        <v>75</v>
      </c>
      <c r="E125" s="30">
        <v>99.1</v>
      </c>
      <c r="F125" s="14">
        <f t="shared" ref="F125:F138" si="30">E125/5</f>
        <v>19.82</v>
      </c>
      <c r="G125" s="15">
        <f t="shared" ref="G125:G136" si="31">F125*25</f>
        <v>495.5</v>
      </c>
      <c r="H125" s="16">
        <v>0</v>
      </c>
      <c r="I125" s="16">
        <f t="shared" ref="I125:I138" si="32">H125/2</f>
        <v>0</v>
      </c>
      <c r="J125" s="16">
        <f t="shared" ref="J125:J138" si="33">I125*30</f>
        <v>0</v>
      </c>
      <c r="K125" s="17">
        <f t="shared" ref="K125:K137" si="34">J125+G125</f>
        <v>495.5</v>
      </c>
      <c r="L125" s="26">
        <v>250</v>
      </c>
      <c r="M125" s="23">
        <v>2.8</v>
      </c>
      <c r="N125" s="20">
        <v>7.0000000000000007E-2</v>
      </c>
    </row>
    <row r="126" spans="1:14" ht="15.75" thickBot="1" x14ac:dyDescent="0.3">
      <c r="A126" s="54"/>
      <c r="B126" s="11" t="s">
        <v>15</v>
      </c>
      <c r="C126" s="24" t="s">
        <v>69</v>
      </c>
      <c r="D126" s="12" t="s">
        <v>75</v>
      </c>
      <c r="E126" s="30">
        <v>94.6</v>
      </c>
      <c r="F126" s="14">
        <f t="shared" si="30"/>
        <v>18.919999999999998</v>
      </c>
      <c r="G126" s="15">
        <f t="shared" si="31"/>
        <v>472.99999999999994</v>
      </c>
      <c r="H126" s="16">
        <v>0</v>
      </c>
      <c r="I126" s="16">
        <f t="shared" si="32"/>
        <v>0</v>
      </c>
      <c r="J126" s="16">
        <f t="shared" si="33"/>
        <v>0</v>
      </c>
      <c r="K126" s="17">
        <f t="shared" si="34"/>
        <v>472.99999999999994</v>
      </c>
      <c r="L126" s="26">
        <v>250</v>
      </c>
      <c r="M126" s="23">
        <v>2.7</v>
      </c>
      <c r="N126" s="20">
        <v>7.0000000000000007E-2</v>
      </c>
    </row>
    <row r="127" spans="1:14" ht="15.75" thickBot="1" x14ac:dyDescent="0.3">
      <c r="A127" s="54"/>
      <c r="B127" s="11" t="s">
        <v>15</v>
      </c>
      <c r="C127" s="24" t="s">
        <v>70</v>
      </c>
      <c r="D127" s="12" t="s">
        <v>75</v>
      </c>
      <c r="E127" s="30">
        <v>54.63</v>
      </c>
      <c r="F127" s="14">
        <f t="shared" si="30"/>
        <v>10.926</v>
      </c>
      <c r="G127" s="15">
        <f t="shared" si="31"/>
        <v>273.14999999999998</v>
      </c>
      <c r="H127" s="16">
        <v>0</v>
      </c>
      <c r="I127" s="16">
        <f t="shared" si="32"/>
        <v>0</v>
      </c>
      <c r="J127" s="16">
        <f t="shared" si="33"/>
        <v>0</v>
      </c>
      <c r="K127" s="17">
        <f t="shared" si="34"/>
        <v>273.14999999999998</v>
      </c>
      <c r="L127" s="26">
        <v>200</v>
      </c>
      <c r="M127" s="23">
        <v>2.4</v>
      </c>
      <c r="N127" s="20">
        <v>7.0000000000000007E-2</v>
      </c>
    </row>
    <row r="128" spans="1:14" ht="15.75" thickBot="1" x14ac:dyDescent="0.3">
      <c r="A128" s="54"/>
      <c r="B128" s="11" t="s">
        <v>15</v>
      </c>
      <c r="C128" s="24" t="s">
        <v>70</v>
      </c>
      <c r="D128" s="12" t="s">
        <v>75</v>
      </c>
      <c r="E128" s="30">
        <v>54.14</v>
      </c>
      <c r="F128" s="14">
        <f t="shared" si="30"/>
        <v>10.827999999999999</v>
      </c>
      <c r="G128" s="15">
        <f t="shared" si="31"/>
        <v>270.7</v>
      </c>
      <c r="H128" s="16">
        <v>0</v>
      </c>
      <c r="I128" s="16">
        <f t="shared" si="32"/>
        <v>0</v>
      </c>
      <c r="J128" s="16">
        <f t="shared" si="33"/>
        <v>0</v>
      </c>
      <c r="K128" s="17">
        <f t="shared" si="34"/>
        <v>270.7</v>
      </c>
      <c r="L128" s="26">
        <v>200</v>
      </c>
      <c r="M128" s="23">
        <v>2.4</v>
      </c>
      <c r="N128" s="20">
        <v>7.0000000000000007E-2</v>
      </c>
    </row>
    <row r="129" spans="1:14" ht="15.75" thickBot="1" x14ac:dyDescent="0.3">
      <c r="A129" s="54"/>
      <c r="B129" s="11" t="s">
        <v>15</v>
      </c>
      <c r="C129" s="24" t="s">
        <v>70</v>
      </c>
      <c r="D129" s="12" t="s">
        <v>75</v>
      </c>
      <c r="E129" s="30">
        <v>60.08</v>
      </c>
      <c r="F129" s="14">
        <f t="shared" si="30"/>
        <v>12.016</v>
      </c>
      <c r="G129" s="15">
        <f t="shared" si="31"/>
        <v>300.39999999999998</v>
      </c>
      <c r="H129" s="16">
        <v>0</v>
      </c>
      <c r="I129" s="16">
        <f t="shared" si="32"/>
        <v>0</v>
      </c>
      <c r="J129" s="16">
        <f t="shared" si="33"/>
        <v>0</v>
      </c>
      <c r="K129" s="17">
        <f t="shared" si="34"/>
        <v>300.39999999999998</v>
      </c>
      <c r="L129" s="26">
        <v>200</v>
      </c>
      <c r="M129" s="23">
        <v>2.7</v>
      </c>
      <c r="N129" s="20">
        <v>7.0000000000000007E-2</v>
      </c>
    </row>
    <row r="130" spans="1:14" ht="15.75" thickBot="1" x14ac:dyDescent="0.3">
      <c r="A130" s="54"/>
      <c r="B130" s="11" t="s">
        <v>15</v>
      </c>
      <c r="C130" s="24" t="s">
        <v>71</v>
      </c>
      <c r="D130" s="12" t="s">
        <v>75</v>
      </c>
      <c r="E130" s="30">
        <v>0</v>
      </c>
      <c r="F130" s="14">
        <f t="shared" si="30"/>
        <v>0</v>
      </c>
      <c r="G130" s="15">
        <f t="shared" si="31"/>
        <v>0</v>
      </c>
      <c r="H130" s="29">
        <v>22.29</v>
      </c>
      <c r="I130" s="16">
        <f t="shared" si="32"/>
        <v>11.145</v>
      </c>
      <c r="J130" s="16">
        <f t="shared" si="33"/>
        <v>334.34999999999997</v>
      </c>
      <c r="K130" s="17">
        <f t="shared" si="34"/>
        <v>334.34999999999997</v>
      </c>
      <c r="L130" s="26">
        <v>200</v>
      </c>
      <c r="M130" s="23">
        <v>3</v>
      </c>
      <c r="N130" s="20">
        <v>7.0000000000000007E-2</v>
      </c>
    </row>
    <row r="131" spans="1:14" ht="15.75" thickBot="1" x14ac:dyDescent="0.3">
      <c r="A131" s="54"/>
      <c r="B131" s="11" t="s">
        <v>15</v>
      </c>
      <c r="C131" s="24" t="s">
        <v>71</v>
      </c>
      <c r="D131" s="12" t="s">
        <v>75</v>
      </c>
      <c r="E131" s="30">
        <v>0</v>
      </c>
      <c r="F131" s="14">
        <f t="shared" si="30"/>
        <v>0</v>
      </c>
      <c r="G131" s="15">
        <f t="shared" si="31"/>
        <v>0</v>
      </c>
      <c r="H131" s="29">
        <v>17.32</v>
      </c>
      <c r="I131" s="16">
        <f t="shared" si="32"/>
        <v>8.66</v>
      </c>
      <c r="J131" s="16">
        <f t="shared" si="33"/>
        <v>259.8</v>
      </c>
      <c r="K131" s="17">
        <f>J131+G131</f>
        <v>259.8</v>
      </c>
      <c r="L131" s="26">
        <v>200</v>
      </c>
      <c r="M131" s="23">
        <v>2.2999999999999998</v>
      </c>
      <c r="N131" s="20">
        <v>7.0000000000000007E-2</v>
      </c>
    </row>
    <row r="132" spans="1:14" ht="15.75" thickBot="1" x14ac:dyDescent="0.3">
      <c r="A132" s="54"/>
      <c r="B132" s="11" t="s">
        <v>15</v>
      </c>
      <c r="C132" s="56" t="s">
        <v>17</v>
      </c>
      <c r="D132" s="57"/>
      <c r="E132" s="30">
        <v>48.97</v>
      </c>
      <c r="F132" s="14">
        <f t="shared" si="30"/>
        <v>9.7940000000000005</v>
      </c>
      <c r="G132" s="15">
        <v>171</v>
      </c>
      <c r="H132" s="16">
        <v>0</v>
      </c>
      <c r="I132" s="16">
        <f t="shared" si="32"/>
        <v>0</v>
      </c>
      <c r="J132" s="16">
        <f t="shared" si="33"/>
        <v>0</v>
      </c>
      <c r="K132" s="17">
        <v>171.39500000000001</v>
      </c>
      <c r="L132" s="26">
        <v>160</v>
      </c>
      <c r="M132" s="23">
        <v>2.4</v>
      </c>
      <c r="N132" s="20">
        <v>7.0000000000000007E-2</v>
      </c>
    </row>
    <row r="133" spans="1:14" ht="15.75" thickBot="1" x14ac:dyDescent="0.3">
      <c r="A133" s="54"/>
      <c r="B133" s="24" t="s">
        <v>18</v>
      </c>
      <c r="C133" s="24" t="s">
        <v>19</v>
      </c>
      <c r="D133" s="12" t="s">
        <v>75</v>
      </c>
      <c r="E133" s="30">
        <v>42.16</v>
      </c>
      <c r="F133" s="14">
        <f>E133/5</f>
        <v>8.4319999999999986</v>
      </c>
      <c r="G133" s="15">
        <v>148</v>
      </c>
      <c r="H133" s="16">
        <v>0</v>
      </c>
      <c r="I133" s="16">
        <f t="shared" si="32"/>
        <v>0</v>
      </c>
      <c r="J133" s="16">
        <f t="shared" si="33"/>
        <v>0</v>
      </c>
      <c r="K133" s="17">
        <v>147.56</v>
      </c>
      <c r="L133" s="26">
        <v>160</v>
      </c>
      <c r="M133" s="23">
        <v>2</v>
      </c>
      <c r="N133" s="20">
        <v>7.0000000000000007E-2</v>
      </c>
    </row>
    <row r="134" spans="1:14" ht="15.75" thickBot="1" x14ac:dyDescent="0.3">
      <c r="A134" s="54"/>
      <c r="B134" s="24" t="s">
        <v>18</v>
      </c>
      <c r="C134" s="24" t="s">
        <v>29</v>
      </c>
      <c r="D134" s="12" t="s">
        <v>75</v>
      </c>
      <c r="E134" s="30">
        <v>16.87</v>
      </c>
      <c r="F134" s="14">
        <f>E134/4</f>
        <v>4.2175000000000002</v>
      </c>
      <c r="G134" s="15">
        <f>F134*30</f>
        <v>126.52500000000001</v>
      </c>
      <c r="H134" s="16">
        <v>0</v>
      </c>
      <c r="I134" s="16">
        <f t="shared" si="32"/>
        <v>0</v>
      </c>
      <c r="J134" s="16">
        <f t="shared" si="33"/>
        <v>0</v>
      </c>
      <c r="K134" s="17">
        <f t="shared" si="34"/>
        <v>126.52500000000001</v>
      </c>
      <c r="L134" s="26">
        <v>125</v>
      </c>
      <c r="M134" s="23">
        <v>2.9</v>
      </c>
      <c r="N134" s="20">
        <v>7.0000000000000007E-2</v>
      </c>
    </row>
    <row r="135" spans="1:14" ht="15.75" thickBot="1" x14ac:dyDescent="0.3">
      <c r="A135" s="54"/>
      <c r="B135" s="24" t="s">
        <v>18</v>
      </c>
      <c r="C135" s="24" t="s">
        <v>72</v>
      </c>
      <c r="D135" s="12" t="s">
        <v>75</v>
      </c>
      <c r="E135" s="30">
        <v>0</v>
      </c>
      <c r="F135" s="14">
        <f t="shared" si="30"/>
        <v>0</v>
      </c>
      <c r="G135" s="15">
        <f t="shared" si="31"/>
        <v>0</v>
      </c>
      <c r="H135" s="29">
        <v>29.86</v>
      </c>
      <c r="I135" s="16">
        <f t="shared" si="32"/>
        <v>14.93</v>
      </c>
      <c r="J135" s="16">
        <f t="shared" si="33"/>
        <v>447.9</v>
      </c>
      <c r="K135" s="17">
        <f t="shared" si="34"/>
        <v>447.9</v>
      </c>
      <c r="L135" s="26">
        <v>250</v>
      </c>
      <c r="M135" s="23">
        <v>2.5</v>
      </c>
      <c r="N135" s="20">
        <v>7.0000000000000007E-2</v>
      </c>
    </row>
    <row r="136" spans="1:14" ht="15.75" thickBot="1" x14ac:dyDescent="0.3">
      <c r="A136" s="54"/>
      <c r="B136" s="24" t="s">
        <v>18</v>
      </c>
      <c r="C136" s="24" t="s">
        <v>73</v>
      </c>
      <c r="D136" s="12" t="s">
        <v>75</v>
      </c>
      <c r="E136" s="30">
        <v>0</v>
      </c>
      <c r="F136" s="14">
        <f t="shared" si="30"/>
        <v>0</v>
      </c>
      <c r="G136" s="15">
        <f t="shared" si="31"/>
        <v>0</v>
      </c>
      <c r="H136" s="29">
        <v>30.71</v>
      </c>
      <c r="I136" s="16">
        <f t="shared" si="32"/>
        <v>15.355</v>
      </c>
      <c r="J136" s="16">
        <f t="shared" si="33"/>
        <v>460.65000000000003</v>
      </c>
      <c r="K136" s="17">
        <f t="shared" si="34"/>
        <v>460.65000000000003</v>
      </c>
      <c r="L136" s="26">
        <v>250</v>
      </c>
      <c r="M136" s="23">
        <v>2.6</v>
      </c>
      <c r="N136" s="20">
        <v>7.0000000000000007E-2</v>
      </c>
    </row>
    <row r="137" spans="1:14" ht="15.75" thickBot="1" x14ac:dyDescent="0.3">
      <c r="A137" s="54"/>
      <c r="B137" s="24" t="s">
        <v>18</v>
      </c>
      <c r="C137" s="24" t="s">
        <v>74</v>
      </c>
      <c r="D137" s="12" t="s">
        <v>75</v>
      </c>
      <c r="E137" s="30">
        <v>118.7</v>
      </c>
      <c r="F137" s="14">
        <f>E137/4</f>
        <v>29.675000000000001</v>
      </c>
      <c r="G137" s="15">
        <f>F137*30</f>
        <v>890.25</v>
      </c>
      <c r="H137" s="16">
        <v>0</v>
      </c>
      <c r="I137" s="16">
        <f t="shared" si="32"/>
        <v>0</v>
      </c>
      <c r="J137" s="16">
        <f t="shared" si="33"/>
        <v>0</v>
      </c>
      <c r="K137" s="17">
        <f t="shared" si="34"/>
        <v>890.25</v>
      </c>
      <c r="L137" s="26">
        <v>315</v>
      </c>
      <c r="M137" s="23">
        <v>3.2</v>
      </c>
      <c r="N137" s="20">
        <v>7.0000000000000007E-2</v>
      </c>
    </row>
    <row r="138" spans="1:14" ht="15.75" thickBot="1" x14ac:dyDescent="0.3">
      <c r="A138" s="54"/>
      <c r="B138" s="24" t="s">
        <v>18</v>
      </c>
      <c r="C138" s="56" t="s">
        <v>22</v>
      </c>
      <c r="D138" s="57"/>
      <c r="E138" s="30">
        <v>21.09</v>
      </c>
      <c r="F138" s="14">
        <f t="shared" si="30"/>
        <v>4.218</v>
      </c>
      <c r="G138" s="15">
        <v>74</v>
      </c>
      <c r="H138" s="16">
        <v>0</v>
      </c>
      <c r="I138" s="16">
        <f t="shared" si="32"/>
        <v>0</v>
      </c>
      <c r="J138" s="16">
        <f t="shared" si="33"/>
        <v>0</v>
      </c>
      <c r="K138" s="17">
        <v>73.814999999999998</v>
      </c>
      <c r="L138" s="26">
        <v>125</v>
      </c>
      <c r="M138" s="23">
        <v>1.7</v>
      </c>
      <c r="N138" s="20">
        <v>7.0000000000000007E-2</v>
      </c>
    </row>
  </sheetData>
  <mergeCells count="30">
    <mergeCell ref="A106:A119"/>
    <mergeCell ref="C112:D112"/>
    <mergeCell ref="C119:D119"/>
    <mergeCell ref="A125:A138"/>
    <mergeCell ref="C132:D132"/>
    <mergeCell ref="C138:D138"/>
    <mergeCell ref="A64:A81"/>
    <mergeCell ref="C73:D73"/>
    <mergeCell ref="C81:D81"/>
    <mergeCell ref="A87:A100"/>
    <mergeCell ref="C93:D93"/>
    <mergeCell ref="C100:D100"/>
    <mergeCell ref="A32:A41"/>
    <mergeCell ref="C35:D35"/>
    <mergeCell ref="C41:D41"/>
    <mergeCell ref="A47:A58"/>
    <mergeCell ref="C54:D54"/>
    <mergeCell ref="C55:D55"/>
    <mergeCell ref="M16:N16"/>
    <mergeCell ref="C12:M12"/>
    <mergeCell ref="A19:D19"/>
    <mergeCell ref="E19:G19"/>
    <mergeCell ref="H19:J19"/>
    <mergeCell ref="K19:N19"/>
    <mergeCell ref="A20:B20"/>
    <mergeCell ref="A21:A26"/>
    <mergeCell ref="C22:D22"/>
    <mergeCell ref="C26:D26"/>
    <mergeCell ref="A16:B16"/>
    <mergeCell ref="C16:L16"/>
  </mergeCells>
  <phoneticPr fontId="6" type="noConversion"/>
  <conditionalFormatting sqref="M21:M26">
    <cfRule type="iconSet" priority="15">
      <iconSet iconSet="3Symbols" reverse="1">
        <cfvo type="percent" val="0"/>
        <cfvo type="num" val="3.5"/>
        <cfvo type="num" val="3.5"/>
      </iconSet>
    </cfRule>
  </conditionalFormatting>
  <conditionalFormatting sqref="M32:M41">
    <cfRule type="iconSet" priority="18">
      <iconSet iconSet="3Symbols" reverse="1">
        <cfvo type="percent" val="0"/>
        <cfvo type="num" val="3.5"/>
        <cfvo type="num" val="3.5"/>
      </iconSet>
    </cfRule>
  </conditionalFormatting>
  <conditionalFormatting sqref="M47:M58">
    <cfRule type="iconSet" priority="9">
      <iconSet iconSet="3Symbols" reverse="1">
        <cfvo type="percent" val="0"/>
        <cfvo type="num" val="3.5"/>
        <cfvo type="num" val="3.5"/>
      </iconSet>
    </cfRule>
  </conditionalFormatting>
  <conditionalFormatting sqref="M64:M81">
    <cfRule type="iconSet" priority="7">
      <iconSet iconSet="3Symbols" reverse="1">
        <cfvo type="percent" val="0"/>
        <cfvo type="num" val="3.5"/>
        <cfvo type="num" val="3.5"/>
      </iconSet>
    </cfRule>
  </conditionalFormatting>
  <conditionalFormatting sqref="M87:M100">
    <cfRule type="iconSet" priority="5">
      <iconSet iconSet="3Symbols" reverse="1">
        <cfvo type="percent" val="0"/>
        <cfvo type="num" val="3.5"/>
        <cfvo type="num" val="3.5"/>
      </iconSet>
    </cfRule>
  </conditionalFormatting>
  <conditionalFormatting sqref="M106:M119">
    <cfRule type="iconSet" priority="3">
      <iconSet iconSet="3Symbols" reverse="1">
        <cfvo type="percent" val="0"/>
        <cfvo type="num" val="3.5"/>
        <cfvo type="num" val="3.5"/>
      </iconSet>
    </cfRule>
  </conditionalFormatting>
  <conditionalFormatting sqref="M125:M138">
    <cfRule type="iconSet" priority="1">
      <iconSet iconSet="3Symbols" reverse="1">
        <cfvo type="percent" val="0"/>
        <cfvo type="num" val="3.5"/>
        <cfvo type="num" val="3.5"/>
      </iconSet>
    </cfRule>
  </conditionalFormatting>
  <conditionalFormatting sqref="N21:N26">
    <cfRule type="iconSet" priority="17">
      <iconSet iconSet="3Symbols" reverse="1">
        <cfvo type="percent" val="0"/>
        <cfvo type="num" val="0.7"/>
        <cfvo type="num" val="0.71" gte="0"/>
      </iconSet>
    </cfRule>
  </conditionalFormatting>
  <conditionalFormatting sqref="N32:N41">
    <cfRule type="iconSet" priority="20">
      <iconSet iconSet="3Symbols" reverse="1">
        <cfvo type="percent" val="0"/>
        <cfvo type="num" val="0.7"/>
        <cfvo type="num" val="0.71" gte="0"/>
      </iconSet>
    </cfRule>
  </conditionalFormatting>
  <conditionalFormatting sqref="N47:N58">
    <cfRule type="iconSet" priority="10">
      <iconSet iconSet="3Symbols" reverse="1">
        <cfvo type="percent" val="0"/>
        <cfvo type="num" val="0.7"/>
        <cfvo type="num" val="0.71" gte="0"/>
      </iconSet>
    </cfRule>
  </conditionalFormatting>
  <conditionalFormatting sqref="N64:N81">
    <cfRule type="iconSet" priority="8">
      <iconSet iconSet="3Symbols" reverse="1">
        <cfvo type="percent" val="0"/>
        <cfvo type="num" val="0.7"/>
        <cfvo type="num" val="0.71" gte="0"/>
      </iconSet>
    </cfRule>
  </conditionalFormatting>
  <conditionalFormatting sqref="N87:N100">
    <cfRule type="iconSet" priority="6">
      <iconSet iconSet="3Symbols" reverse="1">
        <cfvo type="percent" val="0"/>
        <cfvo type="num" val="0.7"/>
        <cfvo type="num" val="0.71" gte="0"/>
      </iconSet>
    </cfRule>
  </conditionalFormatting>
  <conditionalFormatting sqref="N106:N119">
    <cfRule type="iconSet" priority="4">
      <iconSet iconSet="3Symbols" reverse="1">
        <cfvo type="percent" val="0"/>
        <cfvo type="num" val="0.7"/>
        <cfvo type="num" val="0.71" gte="0"/>
      </iconSet>
    </cfRule>
  </conditionalFormatting>
  <conditionalFormatting sqref="N125:N138">
    <cfRule type="iconSet" priority="2">
      <iconSet iconSet="3Symbols" reverse="1">
        <cfvo type="percent" val="0"/>
        <cfvo type="num" val="0.7"/>
        <cfvo type="num" val="0.71" gte="0"/>
      </iconSet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D283-C950-43A6-A8B5-6F76DE1FD3C0}">
  <dimension ref="A2:L123"/>
  <sheetViews>
    <sheetView topLeftCell="A84" zoomScale="115" zoomScaleNormal="115" workbookViewId="0">
      <selection activeCell="A64" sqref="A64"/>
    </sheetView>
  </sheetViews>
  <sheetFormatPr baseColWidth="10" defaultRowHeight="15" x14ac:dyDescent="0.25"/>
  <cols>
    <col min="2" max="2" width="10.7109375" customWidth="1"/>
    <col min="13" max="13" width="62.5703125" customWidth="1"/>
    <col min="17" max="17" width="11.7109375" customWidth="1"/>
  </cols>
  <sheetData>
    <row r="2" spans="1:11" x14ac:dyDescent="0.25">
      <c r="A2" t="s">
        <v>84</v>
      </c>
    </row>
    <row r="4" spans="1:11" ht="15.75" thickBot="1" x14ac:dyDescent="0.3">
      <c r="A4" s="1"/>
      <c r="B4" s="1"/>
      <c r="C4" s="1"/>
      <c r="D4" s="1"/>
      <c r="E4" s="2"/>
      <c r="F4" s="2"/>
      <c r="G4" s="2"/>
      <c r="H4" s="1"/>
      <c r="I4" s="2"/>
      <c r="J4" s="2"/>
      <c r="K4" s="2"/>
    </row>
    <row r="5" spans="1:11" ht="15.75" thickBot="1" x14ac:dyDescent="0.3">
      <c r="A5" s="65" t="s">
        <v>0</v>
      </c>
      <c r="B5" s="66"/>
      <c r="C5" s="66"/>
      <c r="D5" s="67"/>
      <c r="E5" s="80" t="s">
        <v>93</v>
      </c>
      <c r="F5" s="81"/>
      <c r="G5" s="82"/>
      <c r="H5" s="83" t="s">
        <v>3</v>
      </c>
      <c r="I5" s="84"/>
      <c r="J5" s="84"/>
      <c r="K5" s="85"/>
    </row>
    <row r="6" spans="1:11" ht="47.25" thickBot="1" x14ac:dyDescent="0.3">
      <c r="A6" s="86" t="s">
        <v>4</v>
      </c>
      <c r="B6" s="87"/>
      <c r="C6" s="3" t="s">
        <v>76</v>
      </c>
      <c r="D6" s="4" t="s">
        <v>91</v>
      </c>
      <c r="E6" s="31" t="s">
        <v>77</v>
      </c>
      <c r="F6" s="31" t="s">
        <v>78</v>
      </c>
      <c r="G6" s="31" t="s">
        <v>9</v>
      </c>
      <c r="H6" s="7" t="s">
        <v>10</v>
      </c>
      <c r="I6" s="32" t="s">
        <v>11</v>
      </c>
      <c r="J6" s="33" t="s">
        <v>12</v>
      </c>
      <c r="K6" s="34" t="s">
        <v>13</v>
      </c>
    </row>
    <row r="7" spans="1:11" ht="15.75" customHeight="1" thickBot="1" x14ac:dyDescent="0.3">
      <c r="A7" s="53" t="s">
        <v>14</v>
      </c>
      <c r="B7" s="11" t="s">
        <v>87</v>
      </c>
      <c r="C7" s="24" t="s">
        <v>103</v>
      </c>
      <c r="D7" s="11" t="s">
        <v>94</v>
      </c>
      <c r="E7" s="35" t="s">
        <v>82</v>
      </c>
      <c r="F7" s="36">
        <v>1</v>
      </c>
      <c r="G7" s="37">
        <v>45</v>
      </c>
      <c r="H7" s="17">
        <v>45</v>
      </c>
      <c r="I7" s="38">
        <v>125</v>
      </c>
      <c r="J7" s="39">
        <v>1</v>
      </c>
      <c r="K7" s="40">
        <v>7.0000000000000007E-2</v>
      </c>
    </row>
    <row r="8" spans="1:11" ht="15.75" thickBot="1" x14ac:dyDescent="0.3">
      <c r="A8" s="54"/>
      <c r="B8" s="11" t="s">
        <v>87</v>
      </c>
      <c r="C8" s="11" t="s">
        <v>104</v>
      </c>
      <c r="D8" s="11" t="s">
        <v>94</v>
      </c>
      <c r="E8" s="35" t="s">
        <v>82</v>
      </c>
      <c r="F8" s="36">
        <v>1</v>
      </c>
      <c r="G8" s="37">
        <v>45</v>
      </c>
      <c r="H8" s="17">
        <v>45</v>
      </c>
      <c r="I8" s="38">
        <v>125</v>
      </c>
      <c r="J8" s="39">
        <v>1</v>
      </c>
      <c r="K8" s="40">
        <v>7.0000000000000007E-2</v>
      </c>
    </row>
    <row r="9" spans="1:11" ht="15.75" thickBot="1" x14ac:dyDescent="0.3">
      <c r="A9" s="54"/>
      <c r="B9" s="11" t="s">
        <v>87</v>
      </c>
      <c r="C9" s="24" t="s">
        <v>81</v>
      </c>
      <c r="D9" s="11" t="s">
        <v>94</v>
      </c>
      <c r="E9" s="41" t="s">
        <v>83</v>
      </c>
      <c r="F9" s="36">
        <v>1</v>
      </c>
      <c r="G9" s="37">
        <v>30</v>
      </c>
      <c r="H9" s="17">
        <v>30</v>
      </c>
      <c r="I9" s="38">
        <v>125</v>
      </c>
      <c r="J9" s="39">
        <v>0.7</v>
      </c>
      <c r="K9" s="40">
        <v>7.0000000000000007E-2</v>
      </c>
    </row>
    <row r="10" spans="1:11" ht="15.75" thickBot="1" x14ac:dyDescent="0.3">
      <c r="A10" s="54"/>
      <c r="B10" s="77" t="s">
        <v>96</v>
      </c>
      <c r="C10" s="78"/>
      <c r="D10" s="79"/>
      <c r="E10" s="42"/>
      <c r="F10" s="43">
        <f>SUM(F7:F9)</f>
        <v>3</v>
      </c>
      <c r="G10" s="43">
        <f>SUM(G7:G9)</f>
        <v>120</v>
      </c>
      <c r="H10" s="43">
        <f>SUM(H7:H9)</f>
        <v>120</v>
      </c>
      <c r="I10" s="44"/>
      <c r="J10" s="45"/>
      <c r="K10" s="46"/>
    </row>
    <row r="11" spans="1:11" ht="15.75" thickBot="1" x14ac:dyDescent="0.3">
      <c r="A11" s="54"/>
      <c r="B11" s="24" t="s">
        <v>80</v>
      </c>
      <c r="C11" s="24" t="s">
        <v>105</v>
      </c>
      <c r="D11" s="11" t="s">
        <v>97</v>
      </c>
      <c r="E11" s="35" t="s">
        <v>82</v>
      </c>
      <c r="F11" s="36">
        <v>1</v>
      </c>
      <c r="G11" s="37">
        <v>45</v>
      </c>
      <c r="H11" s="47">
        <v>45</v>
      </c>
      <c r="I11" s="38">
        <v>125</v>
      </c>
      <c r="J11" s="39">
        <v>1</v>
      </c>
      <c r="K11" s="40">
        <v>7.0000000000000007E-2</v>
      </c>
    </row>
    <row r="12" spans="1:11" ht="15.75" thickBot="1" x14ac:dyDescent="0.3">
      <c r="A12" s="54"/>
      <c r="B12" s="24" t="s">
        <v>80</v>
      </c>
      <c r="C12" s="24" t="s">
        <v>106</v>
      </c>
      <c r="D12" s="11" t="s">
        <v>97</v>
      </c>
      <c r="E12" s="35" t="s">
        <v>82</v>
      </c>
      <c r="F12" s="36">
        <v>1</v>
      </c>
      <c r="G12" s="37">
        <v>45</v>
      </c>
      <c r="H12" s="47">
        <v>45</v>
      </c>
      <c r="I12" s="38">
        <v>125</v>
      </c>
      <c r="J12" s="39">
        <v>1</v>
      </c>
      <c r="K12" s="40">
        <v>7.0000000000000007E-2</v>
      </c>
    </row>
    <row r="13" spans="1:11" ht="15.75" thickBot="1" x14ac:dyDescent="0.3">
      <c r="A13" s="54"/>
      <c r="B13" s="24" t="s">
        <v>80</v>
      </c>
      <c r="C13" s="24" t="s">
        <v>81</v>
      </c>
      <c r="D13" s="11" t="s">
        <v>97</v>
      </c>
      <c r="E13" s="41" t="s">
        <v>83</v>
      </c>
      <c r="F13" s="36">
        <v>1</v>
      </c>
      <c r="G13" s="37">
        <v>60</v>
      </c>
      <c r="H13" s="47">
        <v>30</v>
      </c>
      <c r="I13" s="38">
        <v>125</v>
      </c>
      <c r="J13" s="39">
        <v>0.7</v>
      </c>
      <c r="K13" s="40">
        <v>7.0000000000000007E-2</v>
      </c>
    </row>
    <row r="14" spans="1:11" ht="15" customHeight="1" thickBot="1" x14ac:dyDescent="0.3">
      <c r="A14" s="48"/>
      <c r="B14" s="77" t="s">
        <v>96</v>
      </c>
      <c r="C14" s="78"/>
      <c r="D14" s="79"/>
      <c r="E14" s="42"/>
      <c r="F14" s="43">
        <f>SUM(F11:F13)</f>
        <v>3</v>
      </c>
      <c r="G14" s="49">
        <f>SUM(G11:G13)</f>
        <v>150</v>
      </c>
      <c r="H14" s="49">
        <f>SUM(H11:H13)</f>
        <v>120</v>
      </c>
      <c r="I14" s="44"/>
      <c r="J14" s="44"/>
      <c r="K14" s="44"/>
    </row>
    <row r="18" spans="1:11" ht="15.75" thickBot="1" x14ac:dyDescent="0.3">
      <c r="A18" s="1"/>
      <c r="B18" s="1"/>
      <c r="C18" s="1"/>
      <c r="D18" s="1"/>
      <c r="E18" s="2"/>
      <c r="F18" s="2"/>
      <c r="G18" s="2"/>
      <c r="H18" s="1"/>
      <c r="I18" s="2"/>
      <c r="J18" s="2"/>
      <c r="K18" s="2"/>
    </row>
    <row r="19" spans="1:11" ht="15.75" thickBot="1" x14ac:dyDescent="0.3">
      <c r="A19" s="65" t="s">
        <v>0</v>
      </c>
      <c r="B19" s="66"/>
      <c r="C19" s="66"/>
      <c r="D19" s="67"/>
      <c r="E19" s="80" t="s">
        <v>93</v>
      </c>
      <c r="F19" s="81"/>
      <c r="G19" s="82"/>
      <c r="H19" s="83" t="s">
        <v>3</v>
      </c>
      <c r="I19" s="84"/>
      <c r="J19" s="84"/>
      <c r="K19" s="85"/>
    </row>
    <row r="20" spans="1:11" ht="47.25" thickBot="1" x14ac:dyDescent="0.3">
      <c r="A20" s="51" t="s">
        <v>4</v>
      </c>
      <c r="B20" s="52"/>
      <c r="C20" s="3" t="s">
        <v>76</v>
      </c>
      <c r="D20" s="4" t="s">
        <v>91</v>
      </c>
      <c r="E20" s="31" t="s">
        <v>77</v>
      </c>
      <c r="F20" s="31" t="s">
        <v>78</v>
      </c>
      <c r="G20" s="31" t="s">
        <v>9</v>
      </c>
      <c r="H20" s="7" t="s">
        <v>10</v>
      </c>
      <c r="I20" s="32" t="s">
        <v>11</v>
      </c>
      <c r="J20" s="33" t="s">
        <v>12</v>
      </c>
      <c r="K20" s="34" t="s">
        <v>13</v>
      </c>
    </row>
    <row r="21" spans="1:11" ht="15.75" thickBot="1" x14ac:dyDescent="0.3">
      <c r="A21" s="53" t="s">
        <v>25</v>
      </c>
      <c r="B21" s="11" t="s">
        <v>87</v>
      </c>
      <c r="C21" s="11" t="s">
        <v>85</v>
      </c>
      <c r="D21" s="11" t="s">
        <v>94</v>
      </c>
      <c r="E21" s="35" t="s">
        <v>82</v>
      </c>
      <c r="F21" s="36">
        <v>1</v>
      </c>
      <c r="G21" s="37">
        <v>45</v>
      </c>
      <c r="H21" s="17">
        <v>45</v>
      </c>
      <c r="I21" s="38">
        <v>125</v>
      </c>
      <c r="J21" s="39">
        <v>1</v>
      </c>
      <c r="K21" s="40">
        <v>7.0000000000000007E-2</v>
      </c>
    </row>
    <row r="22" spans="1:11" ht="15.75" thickBot="1" x14ac:dyDescent="0.3">
      <c r="A22" s="54"/>
      <c r="B22" s="11" t="s">
        <v>87</v>
      </c>
      <c r="C22" s="24" t="s">
        <v>86</v>
      </c>
      <c r="D22" s="11" t="s">
        <v>94</v>
      </c>
      <c r="E22" s="35" t="s">
        <v>82</v>
      </c>
      <c r="F22" s="36">
        <v>1</v>
      </c>
      <c r="G22" s="37">
        <v>45</v>
      </c>
      <c r="H22" s="17">
        <v>45</v>
      </c>
      <c r="I22" s="38">
        <v>125</v>
      </c>
      <c r="J22" s="39">
        <v>1</v>
      </c>
      <c r="K22" s="40">
        <v>7.0000000000000007E-2</v>
      </c>
    </row>
    <row r="23" spans="1:11" ht="15.75" thickBot="1" x14ac:dyDescent="0.3">
      <c r="A23" s="54"/>
      <c r="B23" s="11" t="s">
        <v>87</v>
      </c>
      <c r="C23" s="24" t="s">
        <v>83</v>
      </c>
      <c r="D23" s="11" t="s">
        <v>94</v>
      </c>
      <c r="E23" s="41" t="s">
        <v>83</v>
      </c>
      <c r="F23" s="36">
        <v>1</v>
      </c>
      <c r="G23" s="37">
        <v>30</v>
      </c>
      <c r="H23" s="17">
        <v>30</v>
      </c>
      <c r="I23" s="38">
        <v>125</v>
      </c>
      <c r="J23" s="39">
        <v>0.7</v>
      </c>
      <c r="K23" s="40">
        <v>7.0000000000000007E-2</v>
      </c>
    </row>
    <row r="24" spans="1:11" ht="15.75" thickBot="1" x14ac:dyDescent="0.3">
      <c r="A24" s="54"/>
      <c r="B24" s="77" t="s">
        <v>96</v>
      </c>
      <c r="C24" s="78"/>
      <c r="D24" s="79"/>
      <c r="E24" s="42"/>
      <c r="F24" s="43">
        <f>SUM(F21:F23)</f>
        <v>3</v>
      </c>
      <c r="G24" s="43">
        <f>SUM(G21:G23)</f>
        <v>120</v>
      </c>
      <c r="H24" s="43">
        <f>SUM(H21:H23)</f>
        <v>120</v>
      </c>
      <c r="I24" s="44"/>
      <c r="J24" s="45"/>
      <c r="K24" s="46"/>
    </row>
    <row r="25" spans="1:11" ht="15.75" thickBot="1" x14ac:dyDescent="0.3">
      <c r="A25" s="54"/>
      <c r="B25" s="24" t="s">
        <v>92</v>
      </c>
      <c r="C25" s="11" t="s">
        <v>88</v>
      </c>
      <c r="D25" s="12" t="s">
        <v>94</v>
      </c>
      <c r="E25" s="35" t="s">
        <v>79</v>
      </c>
      <c r="F25" s="36">
        <v>1</v>
      </c>
      <c r="G25" s="37">
        <v>30</v>
      </c>
      <c r="H25" s="17">
        <v>30</v>
      </c>
      <c r="I25" s="38">
        <v>125</v>
      </c>
      <c r="J25" s="39">
        <v>0.7</v>
      </c>
      <c r="K25" s="40">
        <v>7.0000000000000007E-2</v>
      </c>
    </row>
    <row r="26" spans="1:11" ht="15.75" thickBot="1" x14ac:dyDescent="0.3">
      <c r="A26" s="54"/>
      <c r="B26" s="24" t="s">
        <v>92</v>
      </c>
      <c r="C26" s="24" t="s">
        <v>89</v>
      </c>
      <c r="D26" s="12" t="s">
        <v>94</v>
      </c>
      <c r="E26" s="35" t="s">
        <v>79</v>
      </c>
      <c r="F26" s="36">
        <v>1</v>
      </c>
      <c r="G26" s="37">
        <v>30</v>
      </c>
      <c r="H26" s="17">
        <v>30</v>
      </c>
      <c r="I26" s="38">
        <v>125</v>
      </c>
      <c r="J26" s="39">
        <v>0.7</v>
      </c>
      <c r="K26" s="40">
        <v>7.0000000000000007E-2</v>
      </c>
    </row>
    <row r="27" spans="1:11" ht="15.75" thickBot="1" x14ac:dyDescent="0.3">
      <c r="A27" s="53" t="s">
        <v>25</v>
      </c>
      <c r="B27" s="24" t="s">
        <v>92</v>
      </c>
      <c r="C27" s="11" t="s">
        <v>90</v>
      </c>
      <c r="D27" s="12" t="s">
        <v>94</v>
      </c>
      <c r="E27" s="35" t="s">
        <v>79</v>
      </c>
      <c r="F27" s="36">
        <v>1</v>
      </c>
      <c r="G27" s="37">
        <v>30</v>
      </c>
      <c r="H27" s="17">
        <v>30</v>
      </c>
      <c r="I27" s="38">
        <v>125</v>
      </c>
      <c r="J27" s="39">
        <v>0.7</v>
      </c>
      <c r="K27" s="40">
        <v>7.0000000000000007E-2</v>
      </c>
    </row>
    <row r="28" spans="1:11" ht="15.75" thickBot="1" x14ac:dyDescent="0.3">
      <c r="A28" s="54"/>
      <c r="B28" s="24" t="s">
        <v>92</v>
      </c>
      <c r="C28" s="11" t="s">
        <v>95</v>
      </c>
      <c r="D28" s="12" t="s">
        <v>94</v>
      </c>
      <c r="E28" s="35" t="s">
        <v>82</v>
      </c>
      <c r="F28" s="36">
        <v>1</v>
      </c>
      <c r="G28" s="37">
        <v>45</v>
      </c>
      <c r="H28" s="17">
        <v>45</v>
      </c>
      <c r="I28" s="38">
        <v>125</v>
      </c>
      <c r="J28" s="39">
        <v>1</v>
      </c>
      <c r="K28" s="40">
        <v>7.0000000000000007E-2</v>
      </c>
    </row>
    <row r="29" spans="1:11" ht="15.75" thickBot="1" x14ac:dyDescent="0.3">
      <c r="A29" s="54"/>
      <c r="B29" s="24" t="s">
        <v>92</v>
      </c>
      <c r="C29" s="11" t="s">
        <v>83</v>
      </c>
      <c r="D29" s="12" t="s">
        <v>94</v>
      </c>
      <c r="E29" s="41" t="s">
        <v>83</v>
      </c>
      <c r="F29" s="36">
        <v>1</v>
      </c>
      <c r="G29" s="37">
        <v>45</v>
      </c>
      <c r="H29" s="17">
        <v>45</v>
      </c>
      <c r="I29" s="38">
        <v>125</v>
      </c>
      <c r="J29" s="39">
        <v>1</v>
      </c>
      <c r="K29" s="40">
        <v>7.0000000000000007E-2</v>
      </c>
    </row>
    <row r="30" spans="1:11" ht="15.75" thickBot="1" x14ac:dyDescent="0.3">
      <c r="A30" s="54"/>
      <c r="B30" s="77" t="s">
        <v>96</v>
      </c>
      <c r="C30" s="78"/>
      <c r="D30" s="79"/>
      <c r="E30" s="42"/>
      <c r="F30" s="43">
        <f>SUM(F25:F29)</f>
        <v>5</v>
      </c>
      <c r="G30" s="43">
        <f>SUM(G25:G29)</f>
        <v>180</v>
      </c>
      <c r="H30" s="43">
        <f>SUM(H25:H29)</f>
        <v>180</v>
      </c>
      <c r="I30" s="44"/>
      <c r="J30" s="45"/>
      <c r="K30" s="46"/>
    </row>
    <row r="31" spans="1:11" ht="15.75" thickBot="1" x14ac:dyDescent="0.3">
      <c r="A31" s="54"/>
      <c r="B31" s="24" t="s">
        <v>92</v>
      </c>
      <c r="C31" s="11" t="s">
        <v>99</v>
      </c>
      <c r="D31" s="12" t="s">
        <v>97</v>
      </c>
      <c r="E31" s="35" t="s">
        <v>79</v>
      </c>
      <c r="F31" s="36">
        <v>1</v>
      </c>
      <c r="G31" s="37">
        <v>30</v>
      </c>
      <c r="H31" s="17">
        <v>30</v>
      </c>
      <c r="I31" s="38">
        <v>125</v>
      </c>
      <c r="J31" s="39">
        <v>0.7</v>
      </c>
      <c r="K31" s="40">
        <v>7.0000000000000007E-2</v>
      </c>
    </row>
    <row r="32" spans="1:11" ht="15.75" thickBot="1" x14ac:dyDescent="0.3">
      <c r="A32" s="53" t="s">
        <v>25</v>
      </c>
      <c r="B32" s="24" t="s">
        <v>92</v>
      </c>
      <c r="C32" s="11" t="s">
        <v>100</v>
      </c>
      <c r="D32" s="12" t="s">
        <v>97</v>
      </c>
      <c r="E32" s="35" t="s">
        <v>79</v>
      </c>
      <c r="F32" s="36">
        <v>1</v>
      </c>
      <c r="G32" s="37">
        <v>30</v>
      </c>
      <c r="H32" s="17">
        <v>30</v>
      </c>
      <c r="I32" s="38">
        <v>125</v>
      </c>
      <c r="J32" s="39">
        <v>0.7</v>
      </c>
      <c r="K32" s="40">
        <v>7.0000000000000007E-2</v>
      </c>
    </row>
    <row r="33" spans="1:12" ht="15.75" thickBot="1" x14ac:dyDescent="0.3">
      <c r="A33" s="54"/>
      <c r="B33" s="24" t="s">
        <v>92</v>
      </c>
      <c r="C33" s="11" t="s">
        <v>101</v>
      </c>
      <c r="D33" s="12" t="s">
        <v>97</v>
      </c>
      <c r="E33" s="35" t="s">
        <v>79</v>
      </c>
      <c r="F33" s="36">
        <v>1</v>
      </c>
      <c r="G33" s="37">
        <v>30</v>
      </c>
      <c r="H33" s="17">
        <v>30</v>
      </c>
      <c r="I33" s="38">
        <v>125</v>
      </c>
      <c r="J33" s="39">
        <v>0.7</v>
      </c>
      <c r="K33" s="40">
        <v>7.0000000000000007E-2</v>
      </c>
    </row>
    <row r="34" spans="1:12" ht="15.75" thickBot="1" x14ac:dyDescent="0.3">
      <c r="A34" s="54"/>
      <c r="B34" s="24" t="s">
        <v>92</v>
      </c>
      <c r="C34" s="11" t="s">
        <v>98</v>
      </c>
      <c r="D34" s="12" t="s">
        <v>97</v>
      </c>
      <c r="E34" s="35" t="s">
        <v>82</v>
      </c>
      <c r="F34" s="36">
        <v>1</v>
      </c>
      <c r="G34" s="37">
        <v>45</v>
      </c>
      <c r="H34" s="17">
        <v>45</v>
      </c>
      <c r="I34" s="38">
        <v>125</v>
      </c>
      <c r="J34" s="39">
        <v>1</v>
      </c>
      <c r="K34" s="40">
        <v>7.0000000000000007E-2</v>
      </c>
    </row>
    <row r="35" spans="1:12" ht="15.75" thickBot="1" x14ac:dyDescent="0.3">
      <c r="A35" s="54"/>
      <c r="B35" s="24" t="s">
        <v>92</v>
      </c>
      <c r="C35" s="11" t="s">
        <v>83</v>
      </c>
      <c r="D35" s="12" t="s">
        <v>97</v>
      </c>
      <c r="E35" s="41" t="s">
        <v>83</v>
      </c>
      <c r="F35" s="36">
        <v>1</v>
      </c>
      <c r="G35" s="37">
        <v>45</v>
      </c>
      <c r="H35" s="17">
        <v>45</v>
      </c>
      <c r="I35" s="38">
        <v>125</v>
      </c>
      <c r="J35" s="39">
        <v>1</v>
      </c>
      <c r="K35" s="40">
        <v>7.0000000000000007E-2</v>
      </c>
    </row>
    <row r="36" spans="1:12" ht="15.75" thickBot="1" x14ac:dyDescent="0.3">
      <c r="A36" s="54"/>
      <c r="B36" s="24" t="s">
        <v>92</v>
      </c>
      <c r="C36" s="11" t="s">
        <v>102</v>
      </c>
      <c r="D36" s="12" t="s">
        <v>97</v>
      </c>
      <c r="E36" s="41" t="s">
        <v>102</v>
      </c>
      <c r="F36" s="36">
        <v>1</v>
      </c>
      <c r="G36" s="37">
        <v>3.87</v>
      </c>
      <c r="H36" s="17">
        <v>3.87</v>
      </c>
      <c r="I36" s="38">
        <v>125</v>
      </c>
      <c r="J36" s="39">
        <v>0.1</v>
      </c>
      <c r="K36" s="40">
        <v>7.0000000000000007E-2</v>
      </c>
    </row>
    <row r="37" spans="1:12" ht="15.75" thickBot="1" x14ac:dyDescent="0.3">
      <c r="A37" s="54"/>
      <c r="B37" s="24" t="s">
        <v>92</v>
      </c>
      <c r="C37" s="11" t="s">
        <v>29</v>
      </c>
      <c r="D37" s="12" t="s">
        <v>97</v>
      </c>
      <c r="E37" s="41" t="s">
        <v>29</v>
      </c>
      <c r="F37" s="36">
        <v>1</v>
      </c>
      <c r="G37" s="37">
        <v>30</v>
      </c>
      <c r="H37" s="17">
        <v>30</v>
      </c>
      <c r="I37" s="38">
        <v>125</v>
      </c>
      <c r="J37" s="39">
        <v>0.7</v>
      </c>
      <c r="K37" s="40">
        <v>7.0000000000000007E-2</v>
      </c>
    </row>
    <row r="38" spans="1:12" ht="15.75" thickBot="1" x14ac:dyDescent="0.3">
      <c r="A38" s="54"/>
      <c r="B38" s="77" t="s">
        <v>96</v>
      </c>
      <c r="C38" s="78"/>
      <c r="D38" s="79"/>
      <c r="E38" s="42"/>
      <c r="F38" s="43">
        <f>SUM(F31:F37)</f>
        <v>7</v>
      </c>
      <c r="G38" s="43">
        <f>SUM(G31:G37)</f>
        <v>213.87</v>
      </c>
      <c r="H38" s="43">
        <f>SUM(H31:H37)</f>
        <v>213.87</v>
      </c>
      <c r="I38" s="44"/>
      <c r="J38" s="45"/>
      <c r="K38" s="46"/>
    </row>
    <row r="39" spans="1:12" x14ac:dyDescent="0.25">
      <c r="A39" s="54"/>
    </row>
    <row r="43" spans="1:12" ht="15.75" thickBot="1" x14ac:dyDescent="0.3">
      <c r="B43" s="1"/>
      <c r="C43" s="1"/>
      <c r="D43" s="1"/>
      <c r="E43" s="1"/>
      <c r="F43" s="2"/>
      <c r="G43" s="2"/>
      <c r="H43" s="2"/>
      <c r="I43" s="1"/>
      <c r="J43" s="2"/>
      <c r="K43" s="2"/>
      <c r="L43" s="2"/>
    </row>
    <row r="44" spans="1:12" ht="15.75" thickBot="1" x14ac:dyDescent="0.3">
      <c r="B44" s="65" t="s">
        <v>0</v>
      </c>
      <c r="C44" s="66"/>
      <c r="D44" s="66"/>
      <c r="E44" s="67"/>
      <c r="F44" s="80" t="s">
        <v>93</v>
      </c>
      <c r="G44" s="81"/>
      <c r="H44" s="82"/>
      <c r="I44" s="83" t="s">
        <v>3</v>
      </c>
      <c r="J44" s="84"/>
      <c r="K44" s="84"/>
      <c r="L44" s="85"/>
    </row>
    <row r="45" spans="1:12" ht="47.25" thickBot="1" x14ac:dyDescent="0.3">
      <c r="B45" s="51" t="s">
        <v>4</v>
      </c>
      <c r="C45" s="52"/>
      <c r="D45" s="3" t="s">
        <v>76</v>
      </c>
      <c r="E45" s="4" t="s">
        <v>91</v>
      </c>
      <c r="F45" s="31" t="s">
        <v>77</v>
      </c>
      <c r="G45" s="31" t="s">
        <v>78</v>
      </c>
      <c r="H45" s="31" t="s">
        <v>9</v>
      </c>
      <c r="I45" s="7" t="s">
        <v>10</v>
      </c>
      <c r="J45" s="32" t="s">
        <v>11</v>
      </c>
      <c r="K45" s="33" t="s">
        <v>12</v>
      </c>
      <c r="L45" s="34" t="s">
        <v>13</v>
      </c>
    </row>
    <row r="46" spans="1:12" ht="15.75" thickBot="1" x14ac:dyDescent="0.3">
      <c r="B46" s="54" t="s">
        <v>33</v>
      </c>
      <c r="C46" s="24" t="s">
        <v>107</v>
      </c>
      <c r="D46" s="11" t="s">
        <v>108</v>
      </c>
      <c r="E46" s="12" t="s">
        <v>94</v>
      </c>
      <c r="F46" s="35" t="s">
        <v>109</v>
      </c>
      <c r="G46" s="36">
        <v>1</v>
      </c>
      <c r="H46" s="37">
        <v>30</v>
      </c>
      <c r="I46" s="17">
        <v>30</v>
      </c>
      <c r="J46" s="38">
        <v>125</v>
      </c>
      <c r="K46" s="39">
        <v>0.7</v>
      </c>
      <c r="L46" s="40">
        <v>7.0000000000000007E-2</v>
      </c>
    </row>
    <row r="47" spans="1:12" ht="15.75" customHeight="1" thickBot="1" x14ac:dyDescent="0.3">
      <c r="B47" s="54"/>
      <c r="C47" s="77" t="s">
        <v>96</v>
      </c>
      <c r="D47" s="78"/>
      <c r="E47" s="79"/>
      <c r="F47" s="42"/>
      <c r="G47" s="43">
        <f>SUM(G41:G46)</f>
        <v>1</v>
      </c>
      <c r="H47" s="43">
        <f>SUM(H41:H46)</f>
        <v>30</v>
      </c>
      <c r="I47" s="43">
        <f>SUM(I41:I46)</f>
        <v>30</v>
      </c>
    </row>
    <row r="48" spans="1:12" ht="15.75" customHeight="1" thickBot="1" x14ac:dyDescent="0.3">
      <c r="B48" s="54"/>
      <c r="C48" s="24" t="s">
        <v>92</v>
      </c>
      <c r="D48" s="24" t="s">
        <v>110</v>
      </c>
      <c r="E48" s="12" t="s">
        <v>94</v>
      </c>
      <c r="F48" s="35" t="s">
        <v>111</v>
      </c>
      <c r="G48" s="36">
        <v>1</v>
      </c>
      <c r="H48" s="37"/>
      <c r="I48" s="17"/>
      <c r="J48" s="38"/>
      <c r="K48" s="39"/>
      <c r="L48" s="40"/>
    </row>
    <row r="49" spans="1:12" ht="15.75" customHeight="1" thickBot="1" x14ac:dyDescent="0.3">
      <c r="B49" s="54"/>
      <c r="C49" s="24" t="s">
        <v>92</v>
      </c>
      <c r="D49" s="11" t="s">
        <v>112</v>
      </c>
      <c r="E49" s="12" t="s">
        <v>94</v>
      </c>
      <c r="F49" s="41" t="s">
        <v>79</v>
      </c>
      <c r="G49" s="36">
        <v>1</v>
      </c>
      <c r="H49" s="37">
        <v>30</v>
      </c>
      <c r="I49" s="17">
        <v>30</v>
      </c>
      <c r="J49" s="38">
        <v>125</v>
      </c>
      <c r="K49" s="39">
        <v>0.7</v>
      </c>
      <c r="L49" s="40">
        <v>7.0000000000000007E-2</v>
      </c>
    </row>
    <row r="50" spans="1:12" ht="15.75" thickBot="1" x14ac:dyDescent="0.3">
      <c r="B50" s="54"/>
      <c r="C50" s="24" t="s">
        <v>92</v>
      </c>
      <c r="D50" s="11" t="s">
        <v>113</v>
      </c>
      <c r="E50" s="12" t="s">
        <v>94</v>
      </c>
      <c r="F50" s="41" t="s">
        <v>79</v>
      </c>
      <c r="G50" s="36">
        <v>1</v>
      </c>
      <c r="H50" s="37">
        <v>30</v>
      </c>
      <c r="I50" s="17">
        <v>30</v>
      </c>
      <c r="J50" s="38">
        <v>125</v>
      </c>
      <c r="K50" s="39">
        <v>0.7</v>
      </c>
      <c r="L50" s="40">
        <v>7.0000000000000007E-2</v>
      </c>
    </row>
    <row r="51" spans="1:12" ht="15.75" thickBot="1" x14ac:dyDescent="0.3">
      <c r="B51" s="54"/>
      <c r="C51" s="24" t="s">
        <v>92</v>
      </c>
      <c r="D51" s="11" t="s">
        <v>114</v>
      </c>
      <c r="E51" s="12" t="s">
        <v>94</v>
      </c>
      <c r="F51" s="41" t="s">
        <v>79</v>
      </c>
      <c r="G51" s="36">
        <v>1</v>
      </c>
      <c r="H51" s="37">
        <v>30</v>
      </c>
      <c r="I51" s="17">
        <v>30</v>
      </c>
      <c r="J51" s="38">
        <v>125</v>
      </c>
      <c r="K51" s="39">
        <v>0.7</v>
      </c>
      <c r="L51" s="40">
        <v>7.0000000000000007E-2</v>
      </c>
    </row>
    <row r="52" spans="1:12" ht="15.75" thickBot="1" x14ac:dyDescent="0.3">
      <c r="B52" s="54"/>
      <c r="C52" s="24" t="s">
        <v>92</v>
      </c>
      <c r="D52" s="11" t="s">
        <v>115</v>
      </c>
      <c r="E52" s="12" t="s">
        <v>94</v>
      </c>
      <c r="F52" s="41" t="s">
        <v>82</v>
      </c>
      <c r="G52" s="36">
        <v>1</v>
      </c>
      <c r="H52" s="37">
        <v>45</v>
      </c>
      <c r="I52" s="17">
        <v>45</v>
      </c>
      <c r="J52" s="38">
        <v>125</v>
      </c>
      <c r="K52" s="39">
        <v>1</v>
      </c>
      <c r="L52" s="40">
        <v>7.0000000000000007E-2</v>
      </c>
    </row>
    <row r="53" spans="1:12" ht="15.75" thickBot="1" x14ac:dyDescent="0.3">
      <c r="B53" s="54"/>
      <c r="C53" s="24" t="s">
        <v>92</v>
      </c>
      <c r="D53" s="11" t="s">
        <v>83</v>
      </c>
      <c r="E53" s="12" t="s">
        <v>94</v>
      </c>
      <c r="F53" s="41" t="s">
        <v>83</v>
      </c>
      <c r="G53" s="36">
        <v>1</v>
      </c>
      <c r="H53" s="37">
        <v>45</v>
      </c>
      <c r="I53" s="17">
        <v>45</v>
      </c>
      <c r="J53" s="38">
        <v>125</v>
      </c>
      <c r="K53" s="39">
        <v>1</v>
      </c>
      <c r="L53" s="40">
        <v>7.0000000000000007E-2</v>
      </c>
    </row>
    <row r="54" spans="1:12" ht="15.75" thickBot="1" x14ac:dyDescent="0.3">
      <c r="B54" s="54"/>
      <c r="C54" s="77" t="s">
        <v>96</v>
      </c>
      <c r="D54" s="78"/>
      <c r="E54" s="79"/>
      <c r="F54" s="42"/>
      <c r="G54" s="43">
        <f>SUM(G48:G53)</f>
        <v>6</v>
      </c>
      <c r="H54" s="43">
        <f>SUM(H48:H53)</f>
        <v>180</v>
      </c>
      <c r="I54" s="43">
        <f>SUM(I48:I53)</f>
        <v>180</v>
      </c>
    </row>
    <row r="55" spans="1:12" ht="15.75" thickBot="1" x14ac:dyDescent="0.3">
      <c r="B55" s="54"/>
      <c r="C55" s="24" t="s">
        <v>116</v>
      </c>
      <c r="D55" s="11" t="s">
        <v>117</v>
      </c>
      <c r="E55" s="12" t="s">
        <v>97</v>
      </c>
      <c r="F55" s="41" t="s">
        <v>79</v>
      </c>
      <c r="G55" s="36">
        <v>1</v>
      </c>
      <c r="H55" s="37">
        <v>30</v>
      </c>
      <c r="I55" s="17">
        <v>30</v>
      </c>
      <c r="J55" s="38">
        <v>125</v>
      </c>
      <c r="K55" s="39">
        <v>0.7</v>
      </c>
      <c r="L55" s="40">
        <v>7.0000000000000007E-2</v>
      </c>
    </row>
    <row r="56" spans="1:12" ht="15.75" thickBot="1" x14ac:dyDescent="0.3">
      <c r="B56" s="54"/>
      <c r="C56" s="24" t="s">
        <v>116</v>
      </c>
      <c r="D56" s="11" t="s">
        <v>118</v>
      </c>
      <c r="E56" s="12" t="s">
        <v>97</v>
      </c>
      <c r="F56" s="41" t="s">
        <v>79</v>
      </c>
      <c r="G56" s="36">
        <v>1</v>
      </c>
      <c r="H56" s="37">
        <v>30</v>
      </c>
      <c r="I56" s="17">
        <v>30</v>
      </c>
      <c r="J56" s="38">
        <v>125</v>
      </c>
      <c r="K56" s="39">
        <v>0.7</v>
      </c>
      <c r="L56" s="40">
        <v>7.0000000000000007E-2</v>
      </c>
    </row>
    <row r="57" spans="1:12" ht="15.75" thickBot="1" x14ac:dyDescent="0.3">
      <c r="B57" s="54"/>
      <c r="C57" s="24" t="s">
        <v>116</v>
      </c>
      <c r="D57" s="11" t="s">
        <v>119</v>
      </c>
      <c r="E57" s="12" t="s">
        <v>97</v>
      </c>
      <c r="F57" s="41" t="s">
        <v>79</v>
      </c>
      <c r="G57" s="36">
        <v>1</v>
      </c>
      <c r="H57" s="37">
        <v>30</v>
      </c>
      <c r="I57" s="17">
        <v>30</v>
      </c>
      <c r="J57" s="38">
        <v>125</v>
      </c>
      <c r="K57" s="39">
        <v>0.7</v>
      </c>
      <c r="L57" s="40">
        <v>7.0000000000000007E-2</v>
      </c>
    </row>
    <row r="58" spans="1:12" ht="15.75" thickBot="1" x14ac:dyDescent="0.3">
      <c r="B58" s="54"/>
      <c r="C58" s="24" t="s">
        <v>116</v>
      </c>
      <c r="D58" s="11" t="s">
        <v>120</v>
      </c>
      <c r="E58" s="12" t="s">
        <v>97</v>
      </c>
      <c r="F58" s="41" t="s">
        <v>82</v>
      </c>
      <c r="G58" s="36">
        <v>1</v>
      </c>
      <c r="H58" s="37">
        <v>45</v>
      </c>
      <c r="I58" s="17">
        <v>45</v>
      </c>
      <c r="J58" s="38">
        <v>125</v>
      </c>
      <c r="K58" s="39">
        <v>1</v>
      </c>
      <c r="L58" s="40">
        <v>7.0000000000000007E-2</v>
      </c>
    </row>
    <row r="59" spans="1:12" ht="15.75" thickBot="1" x14ac:dyDescent="0.3">
      <c r="B59" s="54"/>
      <c r="C59" s="24" t="s">
        <v>116</v>
      </c>
      <c r="D59" s="11" t="s">
        <v>83</v>
      </c>
      <c r="E59" s="12" t="s">
        <v>97</v>
      </c>
      <c r="F59" s="41" t="s">
        <v>121</v>
      </c>
      <c r="G59" s="36">
        <v>1</v>
      </c>
      <c r="H59" s="37">
        <v>45</v>
      </c>
      <c r="I59" s="17">
        <v>45</v>
      </c>
      <c r="J59" s="38">
        <v>125</v>
      </c>
      <c r="K59" s="39">
        <v>1</v>
      </c>
      <c r="L59" s="40">
        <v>7.0000000000000007E-2</v>
      </c>
    </row>
    <row r="60" spans="1:12" ht="15.75" thickBot="1" x14ac:dyDescent="0.3">
      <c r="B60" s="54"/>
      <c r="C60" s="24" t="s">
        <v>116</v>
      </c>
      <c r="D60" s="11" t="s">
        <v>102</v>
      </c>
      <c r="E60" s="12" t="s">
        <v>97</v>
      </c>
      <c r="F60" s="41" t="s">
        <v>111</v>
      </c>
      <c r="G60" s="36">
        <v>1</v>
      </c>
      <c r="H60" s="37">
        <v>4</v>
      </c>
      <c r="I60" s="17">
        <v>4</v>
      </c>
      <c r="J60" s="38">
        <v>125</v>
      </c>
      <c r="K60" s="39">
        <v>0.1</v>
      </c>
      <c r="L60" s="40">
        <v>7.0000000000000007E-2</v>
      </c>
    </row>
    <row r="61" spans="1:12" ht="15.75" thickBot="1" x14ac:dyDescent="0.3">
      <c r="C61" s="77" t="s">
        <v>96</v>
      </c>
      <c r="D61" s="78"/>
      <c r="E61" s="79"/>
      <c r="F61" s="42"/>
      <c r="G61" s="43">
        <f>SUM(G55:G60)</f>
        <v>6</v>
      </c>
      <c r="H61" s="49">
        <f>SUM(H55:H60)</f>
        <v>184</v>
      </c>
      <c r="I61" s="49">
        <f>SUM(I55:I60)</f>
        <v>184</v>
      </c>
      <c r="J61" s="44"/>
      <c r="K61" s="44"/>
      <c r="L61" s="44"/>
    </row>
    <row r="64" spans="1:12" x14ac:dyDescent="0.25">
      <c r="A64" s="44"/>
      <c r="B64" s="44"/>
    </row>
    <row r="66" spans="1:12" ht="15.75" thickBot="1" x14ac:dyDescent="0.3">
      <c r="A66" s="1"/>
      <c r="B66" s="1"/>
      <c r="C66" s="1"/>
      <c r="D66" s="1"/>
      <c r="E66" s="2"/>
      <c r="F66" s="2"/>
      <c r="G66" s="2"/>
      <c r="H66" s="1"/>
      <c r="I66" s="2"/>
      <c r="J66" s="2"/>
      <c r="K66" s="2"/>
    </row>
    <row r="67" spans="1:12" ht="15.75" thickBot="1" x14ac:dyDescent="0.3">
      <c r="B67" s="65" t="s">
        <v>0</v>
      </c>
      <c r="C67" s="66"/>
      <c r="D67" s="66"/>
      <c r="E67" s="67"/>
      <c r="F67" s="80" t="s">
        <v>93</v>
      </c>
      <c r="G67" s="81"/>
      <c r="H67" s="82"/>
      <c r="I67" s="83" t="s">
        <v>3</v>
      </c>
      <c r="J67" s="84"/>
      <c r="K67" s="84"/>
      <c r="L67" s="85"/>
    </row>
    <row r="68" spans="1:12" ht="47.25" thickBot="1" x14ac:dyDescent="0.3">
      <c r="B68" s="51" t="s">
        <v>4</v>
      </c>
      <c r="C68" s="52"/>
      <c r="D68" s="3" t="s">
        <v>76</v>
      </c>
      <c r="E68" s="4" t="s">
        <v>91</v>
      </c>
      <c r="F68" s="31" t="s">
        <v>77</v>
      </c>
      <c r="G68" s="31" t="s">
        <v>78</v>
      </c>
      <c r="H68" s="31" t="s">
        <v>9</v>
      </c>
      <c r="I68" s="7" t="s">
        <v>10</v>
      </c>
      <c r="J68" s="32" t="s">
        <v>11</v>
      </c>
      <c r="K68" s="33" t="s">
        <v>12</v>
      </c>
      <c r="L68" s="34" t="s">
        <v>13</v>
      </c>
    </row>
    <row r="69" spans="1:12" ht="15.75" customHeight="1" thickBot="1" x14ac:dyDescent="0.3">
      <c r="B69" s="53" t="s">
        <v>42</v>
      </c>
      <c r="C69" s="24" t="s">
        <v>92</v>
      </c>
      <c r="D69" s="24" t="s">
        <v>122</v>
      </c>
      <c r="E69" s="12" t="s">
        <v>94</v>
      </c>
      <c r="F69" s="35" t="s">
        <v>111</v>
      </c>
      <c r="G69" s="36">
        <v>1</v>
      </c>
      <c r="H69" s="37">
        <v>30</v>
      </c>
      <c r="I69" s="17">
        <v>30</v>
      </c>
      <c r="J69" s="38">
        <v>125</v>
      </c>
      <c r="K69" s="39">
        <v>0.7</v>
      </c>
      <c r="L69" s="40">
        <v>7.0000000000000007E-2</v>
      </c>
    </row>
    <row r="70" spans="1:12" ht="15.75" thickBot="1" x14ac:dyDescent="0.3">
      <c r="B70" s="54"/>
      <c r="C70" s="24" t="s">
        <v>92</v>
      </c>
      <c r="D70" s="11" t="s">
        <v>123</v>
      </c>
      <c r="E70" s="12" t="s">
        <v>94</v>
      </c>
      <c r="F70" s="41" t="s">
        <v>79</v>
      </c>
      <c r="G70" s="36">
        <v>1</v>
      </c>
      <c r="H70" s="37">
        <v>30</v>
      </c>
      <c r="I70" s="17">
        <v>30</v>
      </c>
      <c r="J70" s="38">
        <v>125</v>
      </c>
      <c r="K70" s="39">
        <v>0.7</v>
      </c>
      <c r="L70" s="40">
        <v>7.0000000000000007E-2</v>
      </c>
    </row>
    <row r="71" spans="1:12" ht="15.75" thickBot="1" x14ac:dyDescent="0.3">
      <c r="B71" s="54"/>
      <c r="C71" s="24" t="s">
        <v>92</v>
      </c>
      <c r="D71" s="11" t="s">
        <v>83</v>
      </c>
      <c r="E71" s="12" t="s">
        <v>94</v>
      </c>
      <c r="F71" s="41" t="s">
        <v>83</v>
      </c>
      <c r="G71" s="36">
        <v>1</v>
      </c>
      <c r="H71" s="37">
        <v>45</v>
      </c>
      <c r="I71" s="17">
        <v>45</v>
      </c>
      <c r="J71" s="38">
        <v>125</v>
      </c>
      <c r="K71" s="39">
        <v>1</v>
      </c>
      <c r="L71" s="40">
        <v>7.0000000000000007E-2</v>
      </c>
    </row>
    <row r="72" spans="1:12" ht="15.75" thickBot="1" x14ac:dyDescent="0.3">
      <c r="B72" s="54"/>
      <c r="C72" s="24" t="s">
        <v>92</v>
      </c>
      <c r="D72" s="11" t="s">
        <v>124</v>
      </c>
      <c r="E72" s="12" t="s">
        <v>94</v>
      </c>
      <c r="F72" s="41" t="s">
        <v>82</v>
      </c>
      <c r="G72" s="36">
        <v>1</v>
      </c>
      <c r="H72" s="37">
        <v>45</v>
      </c>
      <c r="I72" s="17">
        <v>45</v>
      </c>
      <c r="J72" s="38">
        <v>125</v>
      </c>
      <c r="K72" s="39">
        <v>1</v>
      </c>
      <c r="L72" s="40">
        <v>7.0000000000000007E-2</v>
      </c>
    </row>
    <row r="73" spans="1:12" ht="15.75" thickBot="1" x14ac:dyDescent="0.3">
      <c r="B73" s="54"/>
      <c r="C73" s="77" t="s">
        <v>96</v>
      </c>
      <c r="D73" s="78"/>
      <c r="E73" s="79"/>
      <c r="F73" s="42"/>
      <c r="G73" s="43">
        <f>SUM(G69:G72)</f>
        <v>4</v>
      </c>
      <c r="H73" s="43">
        <f>SUM(H69:H72)</f>
        <v>150</v>
      </c>
      <c r="I73" s="43">
        <f>SUM(I66:I72)</f>
        <v>150</v>
      </c>
    </row>
    <row r="74" spans="1:12" ht="15.75" thickBot="1" x14ac:dyDescent="0.3">
      <c r="B74" s="54"/>
      <c r="C74" s="24" t="s">
        <v>125</v>
      </c>
      <c r="D74" s="11" t="s">
        <v>126</v>
      </c>
      <c r="E74" s="12" t="s">
        <v>97</v>
      </c>
      <c r="F74" s="41" t="s">
        <v>79</v>
      </c>
      <c r="G74" s="36">
        <v>1</v>
      </c>
      <c r="H74" s="37">
        <v>30</v>
      </c>
      <c r="I74" s="17">
        <v>30</v>
      </c>
      <c r="J74" s="38">
        <v>125</v>
      </c>
      <c r="K74" s="39">
        <v>0.7</v>
      </c>
      <c r="L74" s="40">
        <v>7.0000000000000007E-2</v>
      </c>
    </row>
    <row r="75" spans="1:12" ht="15.75" thickBot="1" x14ac:dyDescent="0.3">
      <c r="B75" s="54"/>
      <c r="C75" s="24" t="s">
        <v>125</v>
      </c>
      <c r="D75" s="11" t="s">
        <v>127</v>
      </c>
      <c r="E75" s="12" t="s">
        <v>97</v>
      </c>
      <c r="F75" s="41" t="s">
        <v>79</v>
      </c>
      <c r="G75" s="36">
        <v>1</v>
      </c>
      <c r="H75" s="37">
        <v>30</v>
      </c>
      <c r="I75" s="17">
        <v>30</v>
      </c>
      <c r="J75" s="38">
        <v>125</v>
      </c>
      <c r="K75" s="39">
        <v>0.7</v>
      </c>
      <c r="L75" s="40">
        <v>7.0000000000000007E-2</v>
      </c>
    </row>
    <row r="76" spans="1:12" ht="15.75" thickBot="1" x14ac:dyDescent="0.3">
      <c r="B76" s="54"/>
      <c r="C76" s="24" t="s">
        <v>125</v>
      </c>
      <c r="D76" s="11" t="s">
        <v>128</v>
      </c>
      <c r="E76" s="12" t="s">
        <v>97</v>
      </c>
      <c r="F76" s="41" t="s">
        <v>82</v>
      </c>
      <c r="G76" s="36">
        <v>1</v>
      </c>
      <c r="H76" s="37">
        <v>45</v>
      </c>
      <c r="I76" s="17">
        <v>45</v>
      </c>
      <c r="J76" s="38">
        <v>125</v>
      </c>
      <c r="K76" s="39">
        <v>1</v>
      </c>
      <c r="L76" s="40">
        <v>7.0000000000000007E-2</v>
      </c>
    </row>
    <row r="77" spans="1:12" ht="15.75" thickBot="1" x14ac:dyDescent="0.3">
      <c r="B77" s="54"/>
      <c r="C77" s="24" t="s">
        <v>125</v>
      </c>
      <c r="D77" s="11" t="s">
        <v>83</v>
      </c>
      <c r="E77" s="12" t="s">
        <v>97</v>
      </c>
      <c r="F77" s="41" t="s">
        <v>83</v>
      </c>
      <c r="G77" s="36">
        <v>1</v>
      </c>
      <c r="H77" s="37">
        <v>45</v>
      </c>
      <c r="I77" s="17">
        <v>45</v>
      </c>
      <c r="J77" s="38">
        <v>125</v>
      </c>
      <c r="K77" s="39">
        <v>1</v>
      </c>
      <c r="L77" s="40">
        <v>7.0000000000000007E-2</v>
      </c>
    </row>
    <row r="78" spans="1:12" ht="15.75" thickBot="1" x14ac:dyDescent="0.3">
      <c r="B78" s="54"/>
      <c r="C78" s="24" t="s">
        <v>125</v>
      </c>
      <c r="D78" s="11" t="s">
        <v>129</v>
      </c>
      <c r="E78" s="12" t="s">
        <v>97</v>
      </c>
      <c r="F78" s="41" t="s">
        <v>130</v>
      </c>
      <c r="G78" s="36">
        <v>1</v>
      </c>
      <c r="H78" s="37">
        <v>30</v>
      </c>
      <c r="I78" s="17">
        <v>30</v>
      </c>
      <c r="J78" s="38">
        <v>125</v>
      </c>
      <c r="K78" s="39">
        <v>0.7</v>
      </c>
      <c r="L78" s="40">
        <v>7.0000000000000007E-2</v>
      </c>
    </row>
    <row r="79" spans="1:12" ht="15.75" thickBot="1" x14ac:dyDescent="0.3">
      <c r="B79" s="54"/>
      <c r="C79" s="77" t="s">
        <v>96</v>
      </c>
      <c r="D79" s="78"/>
      <c r="E79" s="79"/>
      <c r="F79" s="42"/>
      <c r="G79" s="43">
        <f>SUM(G74:G78)</f>
        <v>5</v>
      </c>
      <c r="H79" s="43">
        <f>SUM(H74:H78)</f>
        <v>180</v>
      </c>
      <c r="I79" s="43">
        <f>SUM(I74:I78)</f>
        <v>180</v>
      </c>
    </row>
    <row r="84" spans="2:12" ht="15.75" thickBot="1" x14ac:dyDescent="0.3">
      <c r="B84" s="1"/>
      <c r="C84" s="1"/>
      <c r="D84" s="1"/>
      <c r="E84" s="1"/>
      <c r="F84" s="2"/>
      <c r="G84" s="2"/>
      <c r="H84" s="2"/>
      <c r="I84" s="1"/>
      <c r="J84" s="2"/>
      <c r="K84" s="2"/>
      <c r="L84" s="2"/>
    </row>
    <row r="85" spans="2:12" ht="15.75" thickBot="1" x14ac:dyDescent="0.3">
      <c r="B85" s="65" t="s">
        <v>0</v>
      </c>
      <c r="C85" s="66"/>
      <c r="D85" s="66"/>
      <c r="E85" s="67"/>
      <c r="F85" s="80" t="s">
        <v>93</v>
      </c>
      <c r="G85" s="81"/>
      <c r="H85" s="82"/>
      <c r="I85" s="83" t="s">
        <v>3</v>
      </c>
      <c r="J85" s="84"/>
      <c r="K85" s="84"/>
      <c r="L85" s="85"/>
    </row>
    <row r="86" spans="2:12" ht="47.25" thickBot="1" x14ac:dyDescent="0.3">
      <c r="B86" s="51" t="s">
        <v>4</v>
      </c>
      <c r="C86" s="52"/>
      <c r="D86" s="3" t="s">
        <v>76</v>
      </c>
      <c r="E86" s="4" t="s">
        <v>91</v>
      </c>
      <c r="F86" s="31" t="s">
        <v>77</v>
      </c>
      <c r="G86" s="31" t="s">
        <v>78</v>
      </c>
      <c r="H86" s="31" t="s">
        <v>9</v>
      </c>
      <c r="I86" s="7" t="s">
        <v>10</v>
      </c>
      <c r="J86" s="32" t="s">
        <v>11</v>
      </c>
      <c r="K86" s="33" t="s">
        <v>12</v>
      </c>
      <c r="L86" s="34" t="s">
        <v>13</v>
      </c>
    </row>
    <row r="87" spans="2:12" ht="15.75" thickBot="1" x14ac:dyDescent="0.3">
      <c r="B87" s="54" t="s">
        <v>131</v>
      </c>
      <c r="C87" s="24" t="s">
        <v>92</v>
      </c>
      <c r="D87" s="11" t="s">
        <v>132</v>
      </c>
      <c r="E87" s="12" t="s">
        <v>94</v>
      </c>
      <c r="F87" s="41" t="s">
        <v>79</v>
      </c>
      <c r="G87" s="36">
        <v>1</v>
      </c>
      <c r="H87" s="37">
        <v>30</v>
      </c>
      <c r="I87" s="17">
        <v>30</v>
      </c>
      <c r="J87" s="38">
        <v>125</v>
      </c>
      <c r="K87" s="39">
        <v>0.7</v>
      </c>
      <c r="L87" s="40">
        <v>7.0000000000000007E-2</v>
      </c>
    </row>
    <row r="88" spans="2:12" ht="15.75" thickBot="1" x14ac:dyDescent="0.3">
      <c r="B88" s="54"/>
      <c r="C88" s="24" t="s">
        <v>92</v>
      </c>
      <c r="D88" s="11" t="s">
        <v>133</v>
      </c>
      <c r="E88" s="12" t="s">
        <v>94</v>
      </c>
      <c r="F88" s="41" t="s">
        <v>79</v>
      </c>
      <c r="G88" s="36">
        <v>1</v>
      </c>
      <c r="H88" s="37">
        <v>30</v>
      </c>
      <c r="I88" s="17">
        <v>30</v>
      </c>
      <c r="J88" s="38">
        <v>125</v>
      </c>
      <c r="K88" s="39">
        <v>0.7</v>
      </c>
      <c r="L88" s="40">
        <v>7.0000000000000007E-2</v>
      </c>
    </row>
    <row r="89" spans="2:12" ht="15.75" thickBot="1" x14ac:dyDescent="0.3">
      <c r="B89" s="54"/>
      <c r="C89" s="24" t="s">
        <v>92</v>
      </c>
      <c r="D89" s="11" t="s">
        <v>134</v>
      </c>
      <c r="E89" s="12" t="s">
        <v>94</v>
      </c>
      <c r="F89" s="41" t="s">
        <v>79</v>
      </c>
      <c r="G89" s="36">
        <v>1</v>
      </c>
      <c r="H89" s="37">
        <v>30</v>
      </c>
      <c r="I89" s="17">
        <v>30</v>
      </c>
      <c r="J89" s="38">
        <v>125</v>
      </c>
      <c r="K89" s="39">
        <v>0.7</v>
      </c>
      <c r="L89" s="40">
        <v>7.0000000000000007E-2</v>
      </c>
    </row>
    <row r="90" spans="2:12" ht="15.75" thickBot="1" x14ac:dyDescent="0.3">
      <c r="B90" s="54"/>
      <c r="C90" s="24" t="s">
        <v>92</v>
      </c>
      <c r="D90" s="11" t="s">
        <v>135</v>
      </c>
      <c r="E90" s="12" t="s">
        <v>94</v>
      </c>
      <c r="F90" s="41" t="s">
        <v>82</v>
      </c>
      <c r="G90" s="36">
        <v>1</v>
      </c>
      <c r="H90" s="37">
        <v>45</v>
      </c>
      <c r="I90" s="17">
        <v>45</v>
      </c>
      <c r="J90" s="38">
        <v>125</v>
      </c>
      <c r="K90" s="39">
        <v>1</v>
      </c>
      <c r="L90" s="40">
        <v>7.0000000000000007E-2</v>
      </c>
    </row>
    <row r="91" spans="2:12" ht="15.75" thickBot="1" x14ac:dyDescent="0.3">
      <c r="B91" s="54"/>
      <c r="C91" s="24" t="s">
        <v>92</v>
      </c>
      <c r="D91" s="11" t="s">
        <v>83</v>
      </c>
      <c r="E91" s="12" t="s">
        <v>94</v>
      </c>
      <c r="F91" s="41" t="s">
        <v>83</v>
      </c>
      <c r="G91" s="36">
        <v>1</v>
      </c>
      <c r="H91" s="37">
        <v>45</v>
      </c>
      <c r="I91" s="17">
        <v>45</v>
      </c>
      <c r="J91" s="38">
        <v>125</v>
      </c>
      <c r="K91" s="39">
        <v>1</v>
      </c>
      <c r="L91" s="40">
        <v>7.0000000000000007E-2</v>
      </c>
    </row>
    <row r="92" spans="2:12" ht="15.75" thickBot="1" x14ac:dyDescent="0.3">
      <c r="B92" s="54"/>
      <c r="C92" s="77" t="s">
        <v>96</v>
      </c>
      <c r="D92" s="78"/>
      <c r="E92" s="79"/>
      <c r="F92" s="42"/>
      <c r="G92" s="43">
        <f>SUM(G87:G91)</f>
        <v>5</v>
      </c>
      <c r="H92" s="43">
        <f>SUM(H87:H91)</f>
        <v>180</v>
      </c>
      <c r="I92" s="43">
        <f>SUM(I87:I91)</f>
        <v>180</v>
      </c>
    </row>
    <row r="93" spans="2:12" ht="15.75" thickBot="1" x14ac:dyDescent="0.3">
      <c r="B93" s="54"/>
      <c r="C93" s="24" t="s">
        <v>116</v>
      </c>
      <c r="D93" s="11" t="s">
        <v>136</v>
      </c>
      <c r="E93" s="12" t="s">
        <v>97</v>
      </c>
      <c r="F93" s="41" t="s">
        <v>79</v>
      </c>
      <c r="G93" s="36">
        <v>1</v>
      </c>
      <c r="H93" s="37">
        <v>30</v>
      </c>
      <c r="I93" s="17">
        <v>30</v>
      </c>
      <c r="J93" s="38">
        <v>125</v>
      </c>
      <c r="K93" s="39">
        <v>0.7</v>
      </c>
      <c r="L93" s="40">
        <v>7.0000000000000007E-2</v>
      </c>
    </row>
    <row r="94" spans="2:12" ht="15.75" thickBot="1" x14ac:dyDescent="0.3">
      <c r="B94" s="54"/>
      <c r="C94" s="24" t="s">
        <v>116</v>
      </c>
      <c r="D94" s="11" t="s">
        <v>137</v>
      </c>
      <c r="E94" s="12" t="s">
        <v>97</v>
      </c>
      <c r="F94" s="41" t="s">
        <v>79</v>
      </c>
      <c r="G94" s="36">
        <v>1</v>
      </c>
      <c r="H94" s="37">
        <v>30</v>
      </c>
      <c r="I94" s="17">
        <v>30</v>
      </c>
      <c r="J94" s="38">
        <v>125</v>
      </c>
      <c r="K94" s="39">
        <v>0.7</v>
      </c>
      <c r="L94" s="40">
        <v>7.0000000000000007E-2</v>
      </c>
    </row>
    <row r="95" spans="2:12" ht="15.75" thickBot="1" x14ac:dyDescent="0.3">
      <c r="B95" s="54"/>
      <c r="C95" s="24" t="s">
        <v>116</v>
      </c>
      <c r="D95" s="11" t="s">
        <v>138</v>
      </c>
      <c r="E95" s="12" t="s">
        <v>97</v>
      </c>
      <c r="F95" s="41" t="s">
        <v>79</v>
      </c>
      <c r="G95" s="36">
        <v>1</v>
      </c>
      <c r="H95" s="37">
        <v>30</v>
      </c>
      <c r="I95" s="17">
        <v>30</v>
      </c>
      <c r="J95" s="38">
        <v>125</v>
      </c>
      <c r="K95" s="39">
        <v>0.7</v>
      </c>
      <c r="L95" s="40">
        <v>7.0000000000000007E-2</v>
      </c>
    </row>
    <row r="96" spans="2:12" ht="15.75" thickBot="1" x14ac:dyDescent="0.3">
      <c r="B96" s="54"/>
      <c r="C96" s="24" t="s">
        <v>116</v>
      </c>
      <c r="D96" s="11" t="s">
        <v>139</v>
      </c>
      <c r="E96" s="12" t="s">
        <v>97</v>
      </c>
      <c r="F96" s="41" t="s">
        <v>82</v>
      </c>
      <c r="G96" s="36">
        <v>1</v>
      </c>
      <c r="H96" s="37">
        <v>45</v>
      </c>
      <c r="I96" s="17">
        <v>45</v>
      </c>
      <c r="J96" s="38">
        <v>125</v>
      </c>
      <c r="K96" s="39">
        <v>1</v>
      </c>
      <c r="L96" s="40">
        <v>7.0000000000000007E-2</v>
      </c>
    </row>
    <row r="97" spans="2:12" ht="15.75" thickBot="1" x14ac:dyDescent="0.3">
      <c r="B97" s="54"/>
      <c r="C97" s="24" t="s">
        <v>116</v>
      </c>
      <c r="D97" s="11" t="s">
        <v>83</v>
      </c>
      <c r="E97" s="12" t="s">
        <v>97</v>
      </c>
      <c r="F97" s="41" t="s">
        <v>83</v>
      </c>
      <c r="G97" s="36">
        <v>1</v>
      </c>
      <c r="H97" s="37">
        <v>45</v>
      </c>
      <c r="I97" s="17">
        <v>45</v>
      </c>
      <c r="J97" s="38">
        <v>125</v>
      </c>
      <c r="K97" s="39">
        <v>1</v>
      </c>
      <c r="L97" s="40">
        <v>7.0000000000000007E-2</v>
      </c>
    </row>
    <row r="98" spans="2:12" ht="15.75" thickBot="1" x14ac:dyDescent="0.3">
      <c r="B98" s="54"/>
      <c r="C98" s="24" t="s">
        <v>116</v>
      </c>
      <c r="D98" s="11" t="s">
        <v>102</v>
      </c>
      <c r="E98" s="12" t="s">
        <v>97</v>
      </c>
      <c r="F98" s="41" t="s">
        <v>140</v>
      </c>
      <c r="G98" s="36">
        <v>1</v>
      </c>
      <c r="H98" s="37">
        <v>4</v>
      </c>
      <c r="I98" s="17">
        <v>4</v>
      </c>
      <c r="J98" s="38">
        <v>125</v>
      </c>
      <c r="K98" s="39">
        <v>0.1</v>
      </c>
      <c r="L98" s="40">
        <v>7.0000000000000007E-2</v>
      </c>
    </row>
    <row r="99" spans="2:12" ht="15.75" thickBot="1" x14ac:dyDescent="0.3">
      <c r="B99" s="48"/>
      <c r="C99" s="24" t="s">
        <v>116</v>
      </c>
      <c r="D99" s="11" t="s">
        <v>29</v>
      </c>
      <c r="E99" s="12" t="s">
        <v>97</v>
      </c>
      <c r="F99" s="41" t="s">
        <v>141</v>
      </c>
      <c r="G99" s="36">
        <v>1</v>
      </c>
      <c r="H99" s="37">
        <v>30</v>
      </c>
      <c r="I99" s="17">
        <v>30</v>
      </c>
      <c r="J99" s="38">
        <v>125</v>
      </c>
      <c r="K99" s="39">
        <v>0.7</v>
      </c>
      <c r="L99" s="40">
        <v>7.0000000000000007E-2</v>
      </c>
    </row>
    <row r="100" spans="2:12" ht="15.75" thickBot="1" x14ac:dyDescent="0.3">
      <c r="C100" s="77" t="s">
        <v>96</v>
      </c>
      <c r="D100" s="78"/>
      <c r="E100" s="79"/>
      <c r="F100" s="42"/>
      <c r="G100" s="43">
        <f>SUM(G93:G99)</f>
        <v>7</v>
      </c>
      <c r="H100" s="49">
        <f>SUM(H93:H99)</f>
        <v>214</v>
      </c>
      <c r="I100" s="49">
        <f>SUM(I93:I99)</f>
        <v>214</v>
      </c>
      <c r="J100" s="44"/>
      <c r="K100" s="44"/>
      <c r="L100" s="44"/>
    </row>
    <row r="106" spans="2:12" ht="15.75" thickBot="1" x14ac:dyDescent="0.3">
      <c r="B106" s="1"/>
      <c r="C106" s="1"/>
      <c r="D106" s="1"/>
      <c r="E106" s="1"/>
      <c r="F106" s="2"/>
      <c r="G106" s="2"/>
      <c r="H106" s="2"/>
      <c r="I106" s="1"/>
      <c r="J106" s="2"/>
      <c r="K106" s="2"/>
      <c r="L106" s="2"/>
    </row>
    <row r="107" spans="2:12" ht="15.75" thickBot="1" x14ac:dyDescent="0.3">
      <c r="B107" s="65" t="s">
        <v>0</v>
      </c>
      <c r="C107" s="66"/>
      <c r="D107" s="66"/>
      <c r="E107" s="67"/>
      <c r="F107" s="80" t="s">
        <v>93</v>
      </c>
      <c r="G107" s="81"/>
      <c r="H107" s="82"/>
      <c r="I107" s="83" t="s">
        <v>3</v>
      </c>
      <c r="J107" s="84"/>
      <c r="K107" s="84"/>
      <c r="L107" s="85"/>
    </row>
    <row r="108" spans="2:12" ht="47.25" thickBot="1" x14ac:dyDescent="0.3">
      <c r="B108" s="51" t="s">
        <v>4</v>
      </c>
      <c r="C108" s="52"/>
      <c r="D108" s="3" t="s">
        <v>76</v>
      </c>
      <c r="E108" s="4" t="s">
        <v>91</v>
      </c>
      <c r="F108" s="31" t="s">
        <v>77</v>
      </c>
      <c r="G108" s="31" t="s">
        <v>78</v>
      </c>
      <c r="H108" s="31" t="s">
        <v>9</v>
      </c>
      <c r="I108" s="7" t="s">
        <v>10</v>
      </c>
      <c r="J108" s="32" t="s">
        <v>11</v>
      </c>
      <c r="K108" s="33" t="s">
        <v>12</v>
      </c>
      <c r="L108" s="34" t="s">
        <v>13</v>
      </c>
    </row>
    <row r="109" spans="2:12" ht="15.75" thickBot="1" x14ac:dyDescent="0.3">
      <c r="B109" s="54" t="s">
        <v>142</v>
      </c>
      <c r="C109" s="24" t="s">
        <v>92</v>
      </c>
      <c r="D109" s="11" t="s">
        <v>143</v>
      </c>
      <c r="E109" s="12" t="s">
        <v>94</v>
      </c>
      <c r="F109" s="41" t="s">
        <v>79</v>
      </c>
      <c r="G109" s="36">
        <v>1</v>
      </c>
      <c r="H109" s="37">
        <v>30</v>
      </c>
      <c r="I109" s="17">
        <v>30</v>
      </c>
      <c r="J109" s="38">
        <v>125</v>
      </c>
      <c r="K109" s="39">
        <v>0.7</v>
      </c>
      <c r="L109" s="40">
        <v>7.0000000000000007E-2</v>
      </c>
    </row>
    <row r="110" spans="2:12" ht="15.75" thickBot="1" x14ac:dyDescent="0.3">
      <c r="B110" s="54"/>
      <c r="C110" s="24" t="s">
        <v>92</v>
      </c>
      <c r="D110" s="11" t="s">
        <v>144</v>
      </c>
      <c r="E110" s="12" t="s">
        <v>94</v>
      </c>
      <c r="F110" s="41" t="s">
        <v>79</v>
      </c>
      <c r="G110" s="36">
        <v>1</v>
      </c>
      <c r="H110" s="37">
        <v>30</v>
      </c>
      <c r="I110" s="17">
        <v>30</v>
      </c>
      <c r="J110" s="38">
        <v>125</v>
      </c>
      <c r="K110" s="39">
        <v>0.7</v>
      </c>
      <c r="L110" s="40">
        <v>7.0000000000000007E-2</v>
      </c>
    </row>
    <row r="111" spans="2:12" ht="15.75" thickBot="1" x14ac:dyDescent="0.3">
      <c r="B111" s="54"/>
      <c r="C111" s="24" t="s">
        <v>92</v>
      </c>
      <c r="D111" s="11" t="s">
        <v>145</v>
      </c>
      <c r="E111" s="12" t="s">
        <v>94</v>
      </c>
      <c r="F111" s="41" t="s">
        <v>79</v>
      </c>
      <c r="G111" s="36">
        <v>1</v>
      </c>
      <c r="H111" s="37">
        <v>30</v>
      </c>
      <c r="I111" s="17">
        <v>30</v>
      </c>
      <c r="J111" s="38">
        <v>125</v>
      </c>
      <c r="K111" s="39">
        <v>0.7</v>
      </c>
      <c r="L111" s="40">
        <v>7.0000000000000007E-2</v>
      </c>
    </row>
    <row r="112" spans="2:12" ht="15.75" thickBot="1" x14ac:dyDescent="0.3">
      <c r="B112" s="54"/>
      <c r="C112" s="24" t="s">
        <v>92</v>
      </c>
      <c r="D112" s="11" t="s">
        <v>146</v>
      </c>
      <c r="E112" s="12" t="s">
        <v>94</v>
      </c>
      <c r="F112" s="41" t="s">
        <v>82</v>
      </c>
      <c r="G112" s="36">
        <v>1</v>
      </c>
      <c r="H112" s="37">
        <v>45</v>
      </c>
      <c r="I112" s="17">
        <v>45</v>
      </c>
      <c r="J112" s="38">
        <v>125</v>
      </c>
      <c r="K112" s="39">
        <v>1</v>
      </c>
      <c r="L112" s="40">
        <v>7.0000000000000007E-2</v>
      </c>
    </row>
    <row r="113" spans="2:12" ht="15.75" thickBot="1" x14ac:dyDescent="0.3">
      <c r="B113" s="54"/>
      <c r="C113" s="24" t="s">
        <v>92</v>
      </c>
      <c r="D113" s="11" t="s">
        <v>83</v>
      </c>
      <c r="E113" s="12" t="s">
        <v>94</v>
      </c>
      <c r="F113" s="41" t="s">
        <v>83</v>
      </c>
      <c r="G113" s="36">
        <v>1</v>
      </c>
      <c r="H113" s="37">
        <v>45</v>
      </c>
      <c r="I113" s="17">
        <v>45</v>
      </c>
      <c r="J113" s="38">
        <v>125</v>
      </c>
      <c r="K113" s="39">
        <v>1</v>
      </c>
      <c r="L113" s="40">
        <v>7.0000000000000007E-2</v>
      </c>
    </row>
    <row r="114" spans="2:12" ht="15.75" thickBot="1" x14ac:dyDescent="0.3">
      <c r="B114" s="54"/>
      <c r="C114" s="77" t="s">
        <v>96</v>
      </c>
      <c r="D114" s="78"/>
      <c r="E114" s="79"/>
      <c r="F114" s="42"/>
      <c r="G114" s="43">
        <f>SUM(G109:G113)</f>
        <v>5</v>
      </c>
      <c r="H114" s="43">
        <f>SUM(H109:H113)</f>
        <v>180</v>
      </c>
      <c r="I114" s="43">
        <f>SUM(I109:I113)</f>
        <v>180</v>
      </c>
    </row>
    <row r="115" spans="2:12" ht="15.75" thickBot="1" x14ac:dyDescent="0.3">
      <c r="B115" s="54"/>
      <c r="C115" s="24" t="s">
        <v>116</v>
      </c>
      <c r="D115" s="11" t="s">
        <v>147</v>
      </c>
      <c r="E115" s="12" t="s">
        <v>97</v>
      </c>
      <c r="F115" s="41" t="s">
        <v>79</v>
      </c>
      <c r="G115" s="36">
        <v>1</v>
      </c>
      <c r="H115" s="37">
        <v>30</v>
      </c>
      <c r="I115" s="17">
        <v>30</v>
      </c>
      <c r="J115" s="38">
        <v>125</v>
      </c>
      <c r="K115" s="39">
        <v>0.7</v>
      </c>
      <c r="L115" s="40">
        <v>7.0000000000000007E-2</v>
      </c>
    </row>
    <row r="116" spans="2:12" ht="15.75" thickBot="1" x14ac:dyDescent="0.3">
      <c r="B116" s="54"/>
      <c r="C116" s="24" t="s">
        <v>116</v>
      </c>
      <c r="D116" s="11" t="s">
        <v>148</v>
      </c>
      <c r="E116" s="12" t="s">
        <v>97</v>
      </c>
      <c r="F116" s="41" t="s">
        <v>79</v>
      </c>
      <c r="G116" s="36">
        <v>1</v>
      </c>
      <c r="H116" s="37">
        <v>30</v>
      </c>
      <c r="I116" s="17">
        <v>30</v>
      </c>
      <c r="J116" s="38">
        <v>125</v>
      </c>
      <c r="K116" s="39">
        <v>0.7</v>
      </c>
      <c r="L116" s="40">
        <v>7.0000000000000007E-2</v>
      </c>
    </row>
    <row r="117" spans="2:12" ht="15.75" thickBot="1" x14ac:dyDescent="0.3">
      <c r="B117" s="54"/>
      <c r="C117" s="24" t="s">
        <v>116</v>
      </c>
      <c r="D117" s="11" t="s">
        <v>149</v>
      </c>
      <c r="E117" s="12" t="s">
        <v>97</v>
      </c>
      <c r="F117" s="41" t="s">
        <v>79</v>
      </c>
      <c r="G117" s="36">
        <v>1</v>
      </c>
      <c r="H117" s="37">
        <v>30</v>
      </c>
      <c r="I117" s="17">
        <v>30</v>
      </c>
      <c r="J117" s="38">
        <v>125</v>
      </c>
      <c r="K117" s="39">
        <v>0.7</v>
      </c>
      <c r="L117" s="40">
        <v>7.0000000000000007E-2</v>
      </c>
    </row>
    <row r="118" spans="2:12" ht="15.75" thickBot="1" x14ac:dyDescent="0.3">
      <c r="B118" s="54"/>
      <c r="C118" s="24" t="s">
        <v>116</v>
      </c>
      <c r="D118" s="11" t="s">
        <v>150</v>
      </c>
      <c r="E118" s="12" t="s">
        <v>97</v>
      </c>
      <c r="F118" s="41" t="s">
        <v>82</v>
      </c>
      <c r="G118" s="36">
        <v>1</v>
      </c>
      <c r="H118" s="37">
        <v>45</v>
      </c>
      <c r="I118" s="17">
        <v>45</v>
      </c>
      <c r="J118" s="38">
        <v>125</v>
      </c>
      <c r="K118" s="39">
        <v>1</v>
      </c>
      <c r="L118" s="40">
        <v>7.0000000000000007E-2</v>
      </c>
    </row>
    <row r="119" spans="2:12" ht="15.75" thickBot="1" x14ac:dyDescent="0.3">
      <c r="B119" s="54"/>
      <c r="C119" s="24" t="s">
        <v>116</v>
      </c>
      <c r="D119" s="11" t="s">
        <v>83</v>
      </c>
      <c r="E119" s="12" t="s">
        <v>97</v>
      </c>
      <c r="F119" s="41" t="s">
        <v>83</v>
      </c>
      <c r="G119" s="36">
        <v>1</v>
      </c>
      <c r="H119" s="37">
        <v>45</v>
      </c>
      <c r="I119" s="17">
        <v>45</v>
      </c>
      <c r="J119" s="38">
        <v>125</v>
      </c>
      <c r="K119" s="39">
        <v>1</v>
      </c>
      <c r="L119" s="40">
        <v>7.0000000000000007E-2</v>
      </c>
    </row>
    <row r="120" spans="2:12" ht="15.75" thickBot="1" x14ac:dyDescent="0.3">
      <c r="B120" s="54"/>
      <c r="C120" s="24" t="s">
        <v>116</v>
      </c>
      <c r="D120" s="11" t="s">
        <v>102</v>
      </c>
      <c r="E120" s="12" t="s">
        <v>97</v>
      </c>
      <c r="F120" s="41" t="s">
        <v>140</v>
      </c>
      <c r="G120" s="36">
        <v>1</v>
      </c>
      <c r="H120" s="37">
        <v>4</v>
      </c>
      <c r="I120" s="17">
        <v>4</v>
      </c>
      <c r="J120" s="38">
        <v>125</v>
      </c>
      <c r="K120" s="39">
        <v>0.1</v>
      </c>
      <c r="L120" s="40">
        <v>7.0000000000000007E-2</v>
      </c>
    </row>
    <row r="121" spans="2:12" ht="15.75" thickBot="1" x14ac:dyDescent="0.3">
      <c r="B121" s="50"/>
      <c r="C121" s="24" t="s">
        <v>116</v>
      </c>
      <c r="D121" s="11" t="s">
        <v>29</v>
      </c>
      <c r="E121" s="12" t="s">
        <v>97</v>
      </c>
      <c r="F121" s="41" t="s">
        <v>141</v>
      </c>
      <c r="G121" s="36">
        <v>1</v>
      </c>
      <c r="H121" s="37">
        <v>30</v>
      </c>
      <c r="I121" s="17">
        <v>30</v>
      </c>
      <c r="J121" s="38">
        <v>125</v>
      </c>
      <c r="K121" s="39">
        <v>0.7</v>
      </c>
      <c r="L121" s="40">
        <v>7.0000000000000007E-2</v>
      </c>
    </row>
    <row r="122" spans="2:12" ht="15.75" thickBot="1" x14ac:dyDescent="0.3">
      <c r="B122" s="48"/>
      <c r="C122" s="24" t="s">
        <v>116</v>
      </c>
      <c r="D122" s="11" t="s">
        <v>151</v>
      </c>
      <c r="E122" s="12" t="s">
        <v>97</v>
      </c>
      <c r="F122" s="41" t="s">
        <v>152</v>
      </c>
      <c r="G122" s="36">
        <v>1</v>
      </c>
      <c r="H122" s="37">
        <v>30</v>
      </c>
      <c r="I122" s="17">
        <v>30</v>
      </c>
      <c r="J122" s="38">
        <v>125</v>
      </c>
      <c r="K122" s="39">
        <v>0.7</v>
      </c>
      <c r="L122" s="40">
        <v>7.0000000000000007E-2</v>
      </c>
    </row>
    <row r="123" spans="2:12" ht="15.75" thickBot="1" x14ac:dyDescent="0.3">
      <c r="C123" s="77" t="s">
        <v>96</v>
      </c>
      <c r="D123" s="78"/>
      <c r="E123" s="79"/>
      <c r="F123" s="42"/>
      <c r="G123" s="43">
        <f>SUM(G115:G122)</f>
        <v>8</v>
      </c>
      <c r="H123" s="49">
        <f>SUM(H115:H122)</f>
        <v>244</v>
      </c>
      <c r="I123" s="49">
        <f>SUM(I115:I122)</f>
        <v>244</v>
      </c>
      <c r="J123" s="44"/>
      <c r="K123" s="44"/>
      <c r="L123" s="44"/>
    </row>
  </sheetData>
  <mergeCells count="46">
    <mergeCell ref="B109:B120"/>
    <mergeCell ref="C114:E114"/>
    <mergeCell ref="C123:E123"/>
    <mergeCell ref="C100:E100"/>
    <mergeCell ref="B107:E107"/>
    <mergeCell ref="F107:H107"/>
    <mergeCell ref="I107:L107"/>
    <mergeCell ref="B108:C108"/>
    <mergeCell ref="B85:E85"/>
    <mergeCell ref="F85:H85"/>
    <mergeCell ref="I85:L85"/>
    <mergeCell ref="B86:C86"/>
    <mergeCell ref="B87:B98"/>
    <mergeCell ref="C92:E92"/>
    <mergeCell ref="B67:E67"/>
    <mergeCell ref="F67:H67"/>
    <mergeCell ref="I67:L67"/>
    <mergeCell ref="B68:C68"/>
    <mergeCell ref="B69:B79"/>
    <mergeCell ref="C73:E73"/>
    <mergeCell ref="C79:E79"/>
    <mergeCell ref="H19:K19"/>
    <mergeCell ref="A20:B20"/>
    <mergeCell ref="A21:A26"/>
    <mergeCell ref="B24:D24"/>
    <mergeCell ref="B44:E44"/>
    <mergeCell ref="F44:H44"/>
    <mergeCell ref="I44:L44"/>
    <mergeCell ref="A32:A39"/>
    <mergeCell ref="B38:D38"/>
    <mergeCell ref="H5:K5"/>
    <mergeCell ref="A6:B6"/>
    <mergeCell ref="A7:A13"/>
    <mergeCell ref="B10:D10"/>
    <mergeCell ref="B14:D14"/>
    <mergeCell ref="C61:E61"/>
    <mergeCell ref="A5:D5"/>
    <mergeCell ref="E5:G5"/>
    <mergeCell ref="A27:A31"/>
    <mergeCell ref="B30:D30"/>
    <mergeCell ref="A19:D19"/>
    <mergeCell ref="E19:G19"/>
    <mergeCell ref="B45:C45"/>
    <mergeCell ref="B46:B60"/>
    <mergeCell ref="C47:E47"/>
    <mergeCell ref="C54:E54"/>
  </mergeCells>
  <phoneticPr fontId="6" type="noConversion"/>
  <conditionalFormatting sqref="J7:J9 J11:J13">
    <cfRule type="iconSet" priority="64">
      <iconSet iconSet="3Symbols" reverse="1">
        <cfvo type="percent" val="0"/>
        <cfvo type="num" val="3.5"/>
        <cfvo type="num" val="3.5"/>
      </iconSet>
    </cfRule>
  </conditionalFormatting>
  <conditionalFormatting sqref="J21:J23">
    <cfRule type="iconSet" priority="39">
      <iconSet iconSet="3Symbols" reverse="1">
        <cfvo type="percent" val="0"/>
        <cfvo type="num" val="3.5"/>
        <cfvo type="num" val="3.5"/>
      </iconSet>
    </cfRule>
  </conditionalFormatting>
  <conditionalFormatting sqref="J25:J29">
    <cfRule type="iconSet" priority="126">
      <iconSet iconSet="3Symbols" reverse="1">
        <cfvo type="percent" val="0"/>
        <cfvo type="num" val="3.5"/>
        <cfvo type="num" val="3.5"/>
      </iconSet>
    </cfRule>
  </conditionalFormatting>
  <conditionalFormatting sqref="J31:J37">
    <cfRule type="iconSet" priority="112">
      <iconSet iconSet="3Symbols" reverse="1">
        <cfvo type="percent" val="0"/>
        <cfvo type="num" val="3.5"/>
        <cfvo type="num" val="3.5"/>
      </iconSet>
    </cfRule>
  </conditionalFormatting>
  <conditionalFormatting sqref="K7:K9 K11:K13">
    <cfRule type="iconSet" priority="63">
      <iconSet iconSet="3Symbols" reverse="1">
        <cfvo type="percent" val="0"/>
        <cfvo type="num" val="0.7"/>
        <cfvo type="num" val="0.71" gte="0"/>
      </iconSet>
    </cfRule>
  </conditionalFormatting>
  <conditionalFormatting sqref="K21:K23">
    <cfRule type="iconSet" priority="99">
      <iconSet iconSet="3Symbols" reverse="1">
        <cfvo type="percent" val="0"/>
        <cfvo type="num" val="0.7"/>
        <cfvo type="num" val="0.71" gte="0"/>
      </iconSet>
    </cfRule>
  </conditionalFormatting>
  <conditionalFormatting sqref="K25:K29">
    <cfRule type="iconSet" priority="127">
      <iconSet iconSet="3Symbols" reverse="1">
        <cfvo type="percent" val="0"/>
        <cfvo type="num" val="0.7"/>
        <cfvo type="num" val="0.71" gte="0"/>
      </iconSet>
    </cfRule>
  </conditionalFormatting>
  <conditionalFormatting sqref="K31:K37">
    <cfRule type="iconSet" priority="113">
      <iconSet iconSet="3Symbols" reverse="1">
        <cfvo type="percent" val="0"/>
        <cfvo type="num" val="0.7"/>
        <cfvo type="num" val="0.71" gte="0"/>
      </iconSet>
    </cfRule>
  </conditionalFormatting>
  <conditionalFormatting sqref="K46 K48:K53 K55:K60">
    <cfRule type="iconSet" priority="17">
      <iconSet iconSet="3Symbols" reverse="1">
        <cfvo type="percent" val="0"/>
        <cfvo type="num" val="3.5"/>
        <cfvo type="num" val="3.5"/>
      </iconSet>
    </cfRule>
  </conditionalFormatting>
  <conditionalFormatting sqref="K69:K72 K74:K78">
    <cfRule type="iconSet" priority="15">
      <iconSet iconSet="3Symbols" reverse="1">
        <cfvo type="percent" val="0"/>
        <cfvo type="num" val="3.5"/>
        <cfvo type="num" val="3.5"/>
      </iconSet>
    </cfRule>
  </conditionalFormatting>
  <conditionalFormatting sqref="K87:K91 K93:K99">
    <cfRule type="iconSet" priority="13">
      <iconSet iconSet="3Symbols" reverse="1">
        <cfvo type="percent" val="0"/>
        <cfvo type="num" val="3.5"/>
        <cfvo type="num" val="3.5"/>
      </iconSet>
    </cfRule>
  </conditionalFormatting>
  <conditionalFormatting sqref="K109:K113 K115:K122">
    <cfRule type="iconSet" priority="11">
      <iconSet iconSet="3Symbols" reverse="1">
        <cfvo type="percent" val="0"/>
        <cfvo type="num" val="3.5"/>
        <cfvo type="num" val="3.5"/>
      </iconSet>
    </cfRule>
  </conditionalFormatting>
  <conditionalFormatting sqref="L46">
    <cfRule type="iconSet" priority="10">
      <iconSet iconSet="3Symbols" reverse="1">
        <cfvo type="percent" val="0"/>
        <cfvo type="num" val="0.7"/>
        <cfvo type="num" val="0.71" gte="0"/>
      </iconSet>
    </cfRule>
  </conditionalFormatting>
  <conditionalFormatting sqref="L48:L53">
    <cfRule type="iconSet" priority="9">
      <iconSet iconSet="3Symbols" reverse="1">
        <cfvo type="percent" val="0"/>
        <cfvo type="num" val="0.7"/>
        <cfvo type="num" val="0.71" gte="0"/>
      </iconSet>
    </cfRule>
  </conditionalFormatting>
  <conditionalFormatting sqref="L55">
    <cfRule type="iconSet" priority="7">
      <iconSet iconSet="3Symbols" reverse="1">
        <cfvo type="percent" val="0"/>
        <cfvo type="num" val="0.7"/>
        <cfvo type="num" val="0.71" gte="0"/>
      </iconSet>
    </cfRule>
  </conditionalFormatting>
  <conditionalFormatting sqref="L56:L60">
    <cfRule type="iconSet" priority="8">
      <iconSet iconSet="3Symbols" reverse="1">
        <cfvo type="percent" val="0"/>
        <cfvo type="num" val="0.7"/>
        <cfvo type="num" val="0.71" gte="0"/>
      </iconSet>
    </cfRule>
  </conditionalFormatting>
  <conditionalFormatting sqref="L69:L72">
    <cfRule type="iconSet" priority="6">
      <iconSet iconSet="3Symbols" reverse="1">
        <cfvo type="percent" val="0"/>
        <cfvo type="num" val="0.7"/>
        <cfvo type="num" val="0.71" gte="0"/>
      </iconSet>
    </cfRule>
  </conditionalFormatting>
  <conditionalFormatting sqref="L74:L78">
    <cfRule type="iconSet" priority="5">
      <iconSet iconSet="3Symbols" reverse="1">
        <cfvo type="percent" val="0"/>
        <cfvo type="num" val="0.7"/>
        <cfvo type="num" val="0.71" gte="0"/>
      </iconSet>
    </cfRule>
  </conditionalFormatting>
  <conditionalFormatting sqref="L87:L91">
    <cfRule type="iconSet" priority="4">
      <iconSet iconSet="3Symbols" reverse="1">
        <cfvo type="percent" val="0"/>
        <cfvo type="num" val="0.7"/>
        <cfvo type="num" val="0.71" gte="0"/>
      </iconSet>
    </cfRule>
  </conditionalFormatting>
  <conditionalFormatting sqref="L93:L99">
    <cfRule type="iconSet" priority="3">
      <iconSet iconSet="3Symbols" reverse="1">
        <cfvo type="percent" val="0"/>
        <cfvo type="num" val="0.7"/>
        <cfvo type="num" val="0.71" gte="0"/>
      </iconSet>
    </cfRule>
  </conditionalFormatting>
  <conditionalFormatting sqref="L109:L113">
    <cfRule type="iconSet" priority="2">
      <iconSet iconSet="3Symbols" reverse="1">
        <cfvo type="percent" val="0"/>
        <cfvo type="num" val="0.7"/>
        <cfvo type="num" val="0.71" gte="0"/>
      </iconSet>
    </cfRule>
  </conditionalFormatting>
  <conditionalFormatting sqref="L115:L122">
    <cfRule type="iconSet" priority="1">
      <iconSet iconSet="3Symbols" reverse="1">
        <cfvo type="percent" val="0"/>
        <cfvo type="num" val="0.7"/>
        <cfvo type="num" val="0.71" gte="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Soufflage</vt:lpstr>
      <vt:lpstr>VMC</vt:lpstr>
    </vt:vector>
  </TitlesOfParts>
  <Company>VINCI Energies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 BOUDAOUD Hacene</dc:creator>
  <cp:lastModifiedBy>AIT BOUDAOUD Hacene</cp:lastModifiedBy>
  <dcterms:created xsi:type="dcterms:W3CDTF">2025-11-12T12:57:03Z</dcterms:created>
  <dcterms:modified xsi:type="dcterms:W3CDTF">2026-01-06T16:13:58Z</dcterms:modified>
</cp:coreProperties>
</file>