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cene.aitboudaoud\Desktop\Pour lyubo\"/>
    </mc:Choice>
  </mc:AlternateContent>
  <xr:revisionPtr revIDLastSave="0" documentId="13_ncr:1_{657FC40D-7CBC-43C5-B52F-15D7E64C8C15}" xr6:coauthVersionLast="47" xr6:coauthVersionMax="47" xr10:uidLastSave="{00000000-0000-0000-0000-000000000000}"/>
  <bookViews>
    <workbookView xWindow="-51705" yWindow="-3495" windowWidth="27420" windowHeight="20985" xr2:uid="{D32664E6-5D63-4EF5-9C7D-5173DFADD5C8}"/>
  </bookViews>
  <sheets>
    <sheet name="Summary" sheetId="1" r:id="rId1"/>
  </sheets>
  <definedNames>
    <definedName name="_xlnm._FilterDatabase" localSheetId="0" hidden="1">Summary!$A$25:$U$114</definedName>
    <definedName name="_xlnm.Print_Titles" localSheetId="0">Summary!$20:$25</definedName>
    <definedName name="Summary">Summary!$A$57:$E$114</definedName>
    <definedName name="_xlnm.Print_Area" localSheetId="0">Summary!$A$1:$U$114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5" i="1" l="1"/>
  <c r="Q96" i="1"/>
  <c r="Q97" i="1"/>
  <c r="O95" i="1"/>
  <c r="O96" i="1"/>
  <c r="O97" i="1"/>
  <c r="K95" i="1"/>
  <c r="K96" i="1"/>
  <c r="K97" i="1"/>
  <c r="H95" i="1"/>
  <c r="H96" i="1"/>
  <c r="H97" i="1"/>
  <c r="Q91" i="1"/>
  <c r="O91" i="1"/>
  <c r="K91" i="1"/>
  <c r="H91" i="1"/>
  <c r="O88" i="1"/>
  <c r="O89" i="1"/>
  <c r="Q88" i="1"/>
  <c r="Q89" i="1"/>
  <c r="K88" i="1"/>
  <c r="H88" i="1"/>
  <c r="K74" i="1"/>
  <c r="K75" i="1"/>
  <c r="K76" i="1"/>
  <c r="Q74" i="1"/>
  <c r="Q75" i="1"/>
  <c r="Q76" i="1"/>
  <c r="O74" i="1"/>
  <c r="O75" i="1"/>
  <c r="O76" i="1"/>
  <c r="H75" i="1"/>
  <c r="H76" i="1"/>
  <c r="H74" i="1"/>
  <c r="Q61" i="1"/>
  <c r="O61" i="1"/>
  <c r="K61" i="1"/>
  <c r="H61" i="1"/>
  <c r="Q45" i="1"/>
  <c r="O45" i="1"/>
  <c r="O44" i="1"/>
  <c r="K45" i="1"/>
  <c r="H45" i="1"/>
  <c r="F36" i="1"/>
  <c r="F37" i="1" s="1"/>
  <c r="F38" i="1" s="1"/>
  <c r="F39" i="1" s="1"/>
  <c r="F40" i="1" s="1"/>
  <c r="Q98" i="1"/>
  <c r="Q99" i="1"/>
  <c r="Q100" i="1"/>
  <c r="O98" i="1"/>
  <c r="O99" i="1"/>
  <c r="O100" i="1"/>
  <c r="K98" i="1"/>
  <c r="K100" i="1"/>
  <c r="H98" i="1"/>
  <c r="H100" i="1"/>
  <c r="O59" i="1"/>
  <c r="Q59" i="1"/>
  <c r="O72" i="1"/>
  <c r="Q72" i="1"/>
  <c r="O71" i="1"/>
  <c r="Q71" i="1"/>
  <c r="K71" i="1"/>
  <c r="H71" i="1"/>
  <c r="Q56" i="1"/>
  <c r="O56" i="1"/>
  <c r="Q55" i="1"/>
  <c r="O55" i="1"/>
  <c r="K56" i="1"/>
  <c r="H56" i="1"/>
  <c r="H66" i="1"/>
  <c r="H68" i="1"/>
  <c r="H69" i="1"/>
  <c r="H70" i="1"/>
  <c r="H64" i="1"/>
  <c r="H60" i="1"/>
  <c r="H62" i="1"/>
  <c r="K58" i="1"/>
  <c r="K60" i="1"/>
  <c r="K62" i="1"/>
  <c r="K64" i="1"/>
  <c r="K66" i="1"/>
  <c r="K67" i="1"/>
  <c r="K68" i="1"/>
  <c r="K69" i="1"/>
  <c r="K70" i="1"/>
  <c r="K77" i="1"/>
  <c r="K78" i="1"/>
  <c r="K79" i="1"/>
  <c r="K81" i="1"/>
  <c r="K83" i="1"/>
  <c r="K84" i="1"/>
  <c r="K85" i="1"/>
  <c r="K86" i="1"/>
  <c r="K90" i="1"/>
  <c r="K92" i="1"/>
  <c r="K94" i="1"/>
  <c r="K102" i="1"/>
  <c r="K103" i="1"/>
  <c r="K104" i="1"/>
  <c r="K106" i="1"/>
  <c r="K107" i="1"/>
  <c r="K108" i="1"/>
  <c r="K110" i="1"/>
  <c r="K111" i="1"/>
  <c r="K113" i="1"/>
  <c r="K54" i="1"/>
  <c r="O43" i="1"/>
  <c r="Q43" i="1"/>
  <c r="H83" i="1"/>
  <c r="H84" i="1"/>
  <c r="H77" i="1"/>
  <c r="H78" i="1"/>
  <c r="H79" i="1"/>
  <c r="H51" i="1"/>
  <c r="H52" i="1"/>
  <c r="H53" i="1"/>
  <c r="H54" i="1"/>
  <c r="H44" i="1"/>
  <c r="H46" i="1"/>
  <c r="H35" i="1"/>
  <c r="H36" i="1"/>
  <c r="H37" i="1"/>
  <c r="H38" i="1"/>
  <c r="H39" i="1"/>
  <c r="H40" i="1"/>
  <c r="H28" i="1"/>
  <c r="H29" i="1"/>
  <c r="H90" i="1"/>
  <c r="H92" i="1"/>
  <c r="H94" i="1"/>
  <c r="H86" i="1"/>
  <c r="H85" i="1"/>
  <c r="H81" i="1"/>
  <c r="H67" i="1"/>
  <c r="H58" i="1"/>
  <c r="H50" i="1"/>
  <c r="H48" i="1"/>
  <c r="H42" i="1"/>
  <c r="H33" i="1"/>
  <c r="H31" i="1"/>
  <c r="H27" i="1"/>
  <c r="K29" i="1"/>
  <c r="H103" i="1"/>
  <c r="H104" i="1"/>
  <c r="H106" i="1"/>
  <c r="H107" i="1"/>
  <c r="H108" i="1"/>
  <c r="H110" i="1"/>
  <c r="H111" i="1"/>
  <c r="H113" i="1"/>
  <c r="K35" i="1"/>
  <c r="K28" i="1"/>
  <c r="K31" i="1"/>
  <c r="K33" i="1"/>
  <c r="K36" i="1"/>
  <c r="K37" i="1"/>
  <c r="K38" i="1"/>
  <c r="K39" i="1"/>
  <c r="K40" i="1"/>
  <c r="K27" i="1"/>
  <c r="K42" i="1"/>
  <c r="K44" i="1"/>
  <c r="K46" i="1"/>
  <c r="K48" i="1"/>
  <c r="K50" i="1"/>
  <c r="K51" i="1"/>
  <c r="K52" i="1"/>
  <c r="K53" i="1"/>
  <c r="Q28" i="1"/>
  <c r="Q29" i="1"/>
  <c r="Q31" i="1"/>
  <c r="Q33" i="1"/>
  <c r="Q34" i="1"/>
  <c r="Q35" i="1"/>
  <c r="Q36" i="1"/>
  <c r="Q37" i="1"/>
  <c r="Q38" i="1"/>
  <c r="Q39" i="1"/>
  <c r="Q40" i="1"/>
  <c r="Q44" i="1"/>
  <c r="Q46" i="1"/>
  <c r="Q48" i="1"/>
  <c r="Q50" i="1"/>
  <c r="Q51" i="1"/>
  <c r="Q52" i="1"/>
  <c r="Q60" i="1"/>
  <c r="Q62" i="1"/>
  <c r="Q64" i="1"/>
  <c r="Q77" i="1"/>
  <c r="Q78" i="1"/>
  <c r="Q79" i="1"/>
  <c r="Q81" i="1"/>
  <c r="Q83" i="1"/>
  <c r="Q84" i="1"/>
  <c r="Q85" i="1"/>
  <c r="Q90" i="1"/>
  <c r="Q92" i="1"/>
  <c r="Q103" i="1"/>
  <c r="Q104" i="1"/>
  <c r="Q111" i="1"/>
  <c r="O46" i="1"/>
  <c r="O50" i="1"/>
  <c r="O60" i="1"/>
  <c r="O62" i="1"/>
  <c r="O64" i="1"/>
  <c r="O77" i="1"/>
  <c r="O78" i="1"/>
  <c r="O79" i="1"/>
  <c r="O81" i="1"/>
  <c r="O83" i="1"/>
  <c r="O84" i="1"/>
  <c r="O85" i="1"/>
  <c r="O90" i="1"/>
  <c r="O92" i="1"/>
  <c r="O103" i="1"/>
  <c r="O104" i="1"/>
  <c r="O111" i="1"/>
  <c r="O31" i="1"/>
  <c r="O33" i="1"/>
  <c r="O34" i="1"/>
  <c r="O35" i="1"/>
  <c r="O36" i="1"/>
  <c r="O37" i="1"/>
  <c r="O38" i="1"/>
  <c r="O39" i="1"/>
  <c r="O40" i="1"/>
  <c r="O28" i="1"/>
  <c r="O29" i="1"/>
  <c r="O27" i="1"/>
  <c r="Q27" i="1"/>
  <c r="O48" i="1" l="1"/>
  <c r="O51" i="1"/>
  <c r="O52" i="1"/>
  <c r="O86" i="1"/>
  <c r="O94" i="1"/>
  <c r="O107" i="1"/>
  <c r="O54" i="1"/>
  <c r="O42" i="1"/>
  <c r="C116" i="1"/>
  <c r="C118" i="1"/>
  <c r="C121" i="1"/>
  <c r="O113" i="1"/>
  <c r="O110" i="1"/>
  <c r="H102" i="1"/>
  <c r="O58" i="1"/>
  <c r="C117" i="1"/>
  <c r="C120" i="1"/>
  <c r="Q110" i="1" l="1"/>
  <c r="Q86" i="1"/>
  <c r="Q107" i="1"/>
  <c r="Q94" i="1"/>
  <c r="Q113" i="1"/>
  <c r="Q67" i="1"/>
  <c r="Q66" i="1"/>
  <c r="Q42" i="1"/>
  <c r="Q53" i="1"/>
  <c r="Q54" i="1"/>
  <c r="O53" i="1"/>
  <c r="O102" i="1"/>
  <c r="O108" i="1"/>
  <c r="O106" i="1"/>
  <c r="O69" i="1"/>
  <c r="O70" i="1"/>
  <c r="O68" i="1"/>
  <c r="O66" i="1"/>
  <c r="O67" i="1"/>
  <c r="Q102" i="1" l="1"/>
  <c r="Q106" i="1"/>
  <c r="Q108" i="1"/>
  <c r="Q69" i="1"/>
  <c r="Q68" i="1"/>
  <c r="Q70" i="1"/>
  <c r="Q58" i="1"/>
</calcChain>
</file>

<file path=xl/sharedStrings.xml><?xml version="1.0" encoding="utf-8"?>
<sst xmlns="http://schemas.openxmlformats.org/spreadsheetml/2006/main" count="418" uniqueCount="131">
  <si>
    <t>Hypothèses de calculs :</t>
  </si>
  <si>
    <t>Coefficient de majoration du bilan thermique</t>
  </si>
  <si>
    <t>Température  entrée EC  VC :</t>
  </si>
  <si>
    <t>Température  sortie EC  VC :</t>
  </si>
  <si>
    <t>Température  entrée EC batterie CTA :</t>
  </si>
  <si>
    <t>Température  sortie EC batterie CTA:</t>
  </si>
  <si>
    <t>Coeff. de surpuissance déperditions :</t>
  </si>
  <si>
    <t>Température  entrée EG:</t>
  </si>
  <si>
    <t>Température  sortie EG :</t>
  </si>
  <si>
    <t>Température  entrée EG batterie CTA :</t>
  </si>
  <si>
    <t>Température  sortie EG batterie CTA:</t>
  </si>
  <si>
    <t>Coeff. de surpuissance apports :</t>
  </si>
  <si>
    <t>Repére</t>
  </si>
  <si>
    <t>Type</t>
  </si>
  <si>
    <t>Dimensions Local</t>
  </si>
  <si>
    <t>Bilan thermique</t>
  </si>
  <si>
    <t>Terminaux (avec coefficient de surpuissance )</t>
  </si>
  <si>
    <t>Servitudes
(vue dessus/
sens de l'air)</t>
  </si>
  <si>
    <t>Observations</t>
  </si>
  <si>
    <t>Zone</t>
  </si>
  <si>
    <t>Unité</t>
  </si>
  <si>
    <t>Local</t>
  </si>
  <si>
    <t>Surface</t>
  </si>
  <si>
    <t>T int. Hiver</t>
  </si>
  <si>
    <t>Déperditions
 locaux</t>
  </si>
  <si>
    <t>Déperditions
 locaux avec
 majoration</t>
  </si>
  <si>
    <t xml:space="preserve">T int. Eté </t>
  </si>
  <si>
    <t xml:space="preserve">Apports
 totaux
globaux </t>
  </si>
  <si>
    <t>Nombre</t>
  </si>
  <si>
    <t xml:space="preserve">Puissance
chauffage
unité </t>
  </si>
  <si>
    <t xml:space="preserve">Puissance
froide
unité </t>
  </si>
  <si>
    <t>Hydraulique</t>
  </si>
  <si>
    <t>Air
Neuf</t>
  </si>
  <si>
    <t>[m²]</t>
  </si>
  <si>
    <t>[ °C ]</t>
  </si>
  <si>
    <t>[ W ]</t>
  </si>
  <si>
    <t>[ l/h ]</t>
  </si>
  <si>
    <t>Sans objet</t>
  </si>
  <si>
    <t>Gauche</t>
  </si>
  <si>
    <t>Droite</t>
  </si>
  <si>
    <t>42NH549C-----A</t>
  </si>
  <si>
    <t>42NH289C-----A</t>
  </si>
  <si>
    <t>42NH279C-----A</t>
  </si>
  <si>
    <t>C215QP-B + CQ24A-SR</t>
  </si>
  <si>
    <t>C215QP-D + CQ24A-SR</t>
  </si>
  <si>
    <t>R + 3 - ALS</t>
  </si>
  <si>
    <t>R + 3 - Noy</t>
  </si>
  <si>
    <t>R + 3 - LAF</t>
  </si>
  <si>
    <t>R + 2 - ALS</t>
  </si>
  <si>
    <t>R + 2 - Noy</t>
  </si>
  <si>
    <t>R + 2 - LAF</t>
  </si>
  <si>
    <t>R + 1 - ALS</t>
  </si>
  <si>
    <t>R + 1 - Noy</t>
  </si>
  <si>
    <t>R + 1 - LAF</t>
  </si>
  <si>
    <t>RDC - ALS</t>
  </si>
  <si>
    <t>RDC - Noy</t>
  </si>
  <si>
    <t>RDC - LAF</t>
  </si>
  <si>
    <t>ES2 - ALS</t>
  </si>
  <si>
    <t>ES2 - LAF</t>
  </si>
  <si>
    <t xml:space="preserve">ES1 - ALS </t>
  </si>
  <si>
    <t>ES1 - LAF</t>
  </si>
  <si>
    <t>RDQ - ALS</t>
  </si>
  <si>
    <t>RDQ - LAF</t>
  </si>
  <si>
    <t>Bur (L-02-06)</t>
  </si>
  <si>
    <t>Bur (L-02-07)</t>
  </si>
  <si>
    <t>SDR 16 P (L-03-10)</t>
  </si>
  <si>
    <t>SDR 12 P (L-03-11)</t>
  </si>
  <si>
    <t>Espace Conv (L-03-07)</t>
  </si>
  <si>
    <t>Tisanerie (L-03-02)</t>
  </si>
  <si>
    <t>Tisanerie  (L-02-02)</t>
  </si>
  <si>
    <t>Bur (L-01-06)</t>
  </si>
  <si>
    <t>Bur (L-01-07)</t>
  </si>
  <si>
    <t>Tisanerie (L-01-02)</t>
  </si>
  <si>
    <t>PCS (L-00-17)</t>
  </si>
  <si>
    <t>Acceuil (L-00-02)</t>
  </si>
  <si>
    <t>Bur (L-ES2-06)</t>
  </si>
  <si>
    <t>SDR 12 P (L-ES2-11)</t>
  </si>
  <si>
    <t>Bur (L-ES1-05)</t>
  </si>
  <si>
    <t>SDR 18 P (L-ES1-06)</t>
  </si>
  <si>
    <t>SDR 18 P(L-ES1-07)</t>
  </si>
  <si>
    <t>SDR 8 P (L-ES1-15)</t>
  </si>
  <si>
    <t>SDR 10 P (L-ES1-13)</t>
  </si>
  <si>
    <t>Bur (L-ES1-12)</t>
  </si>
  <si>
    <t>Bur (L-RDQ-03)</t>
  </si>
  <si>
    <t>Bur (L-RDQ-11)</t>
  </si>
  <si>
    <t>S-106MF3E5A</t>
  </si>
  <si>
    <t>Référence VC</t>
  </si>
  <si>
    <t>Débit
Air unité</t>
  </si>
  <si>
    <t>Puissance
chauffage
totale</t>
  </si>
  <si>
    <t>Puissance
froide
totale</t>
  </si>
  <si>
    <t>S-28MF3E5A</t>
  </si>
  <si>
    <t>S-45MF3E5A</t>
  </si>
  <si>
    <t>S-36MF3E5A</t>
  </si>
  <si>
    <t>S-22MF3E5A</t>
  </si>
  <si>
    <t xml:space="preserve">Bur Salle MAJ </t>
  </si>
  <si>
    <t>S-15MF3E5A</t>
  </si>
  <si>
    <t>S-90MF3E5A</t>
  </si>
  <si>
    <t>S-56MF3E5A</t>
  </si>
  <si>
    <t>S-73MF3E5A</t>
  </si>
  <si>
    <t>Bur 5</t>
  </si>
  <si>
    <t>Bur 4</t>
  </si>
  <si>
    <t xml:space="preserve">Bur 1 </t>
  </si>
  <si>
    <t xml:space="preserve">Bur 2 </t>
  </si>
  <si>
    <t xml:space="preserve">Bur 3 </t>
  </si>
  <si>
    <t xml:space="preserve">Bur 4 </t>
  </si>
  <si>
    <t xml:space="preserve">Local (L-00-11) </t>
  </si>
  <si>
    <t xml:space="preserve">Local (L-00-15) </t>
  </si>
  <si>
    <t>Bur 3</t>
  </si>
  <si>
    <t xml:space="preserve">Bur 8  </t>
  </si>
  <si>
    <t xml:space="preserve">Bur 5 </t>
  </si>
  <si>
    <t xml:space="preserve">Bur 6 </t>
  </si>
  <si>
    <t>Bur 6</t>
  </si>
  <si>
    <t xml:space="preserve">Bur 2  </t>
  </si>
  <si>
    <t xml:space="preserve">Ventilo-Convecteur </t>
  </si>
  <si>
    <t>Gainable</t>
  </si>
  <si>
    <t>Murale</t>
  </si>
  <si>
    <t>Apports avec
 majoration</t>
  </si>
  <si>
    <t>L-02-10 (SDR 8 P)</t>
  </si>
  <si>
    <t>L-02-10 (SDR 10 P)</t>
  </si>
  <si>
    <t>L-01-10 (SDR 10 P)</t>
  </si>
  <si>
    <t xml:space="preserve">L-01-10 (SDR 8 P) </t>
  </si>
  <si>
    <t xml:space="preserve">Local (L-00-13) </t>
  </si>
  <si>
    <t>SDR 16 P</t>
  </si>
  <si>
    <t>L-00-14 (SDR 40 P)</t>
  </si>
  <si>
    <t>L-ES2-12 (SDR 10 P)</t>
  </si>
  <si>
    <t>L-ES2-12 (SDR 8 P)</t>
  </si>
  <si>
    <t>Bur 1 (SDR 12 P)</t>
  </si>
  <si>
    <t>Bur 1 (SDR 10 P)</t>
  </si>
  <si>
    <t>Bur 2 (SDR 8 P)</t>
  </si>
  <si>
    <t>Bur 2 (SDR 10 P)</t>
  </si>
  <si>
    <t>Gainable / Murale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</si>
</sst>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&quot;°C&quot;"/>
  </numFmts>
  <fonts count="23" x14ac:knownFonts="1">
    <font>
      <sz val="10"/>
      <name val="MS Sans Serif"/>
    </font>
    <font>
      <sz val="8"/>
      <name val="MS Sans Serif"/>
      <family val="2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MS Sans Serif"/>
    </font>
    <font>
      <sz val="10"/>
      <color rgb="FFFF0000"/>
      <name val="Calibri"/>
      <family val="2"/>
      <scheme val="minor"/>
    </font>
    <font>
      <sz val="10"/>
      <color rgb="FF0070C0"/>
      <name val="MS Sans Serif"/>
    </font>
    <font>
      <sz val="10"/>
      <color rgb="FF0070C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FF0000"/>
      <name val="MS Sans Serif"/>
      <family val="2"/>
    </font>
    <font>
      <b/>
      <sz val="14"/>
      <color rgb="FFFF000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MS Sans Serif"/>
    </font>
    <font>
      <sz val="11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sz val="12"/>
      <color rgb="FF0070C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0" fillId="3" borderId="1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4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0" borderId="0" xfId="0" applyNumberFormat="1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10" borderId="1" xfId="0" quotePrefix="1" applyFill="1" applyBorder="1" applyAlignment="1">
      <alignment horizontal="center" vertical="center"/>
    </xf>
    <xf numFmtId="1" fontId="8" fillId="0" borderId="1" xfId="0" applyNumberFormat="1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/>
    </xf>
    <xf numFmtId="0" fontId="19" fillId="10" borderId="1" xfId="0" quotePrefix="1" applyFont="1" applyFill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7" xfId="0" quotePrefix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9" fillId="0" borderId="5" xfId="0" quotePrefix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10" borderId="1" xfId="0" quotePrefix="1" applyFont="1" applyFill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7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3" borderId="1" xfId="0" quotePrefix="1" applyFont="1" applyFill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9" fillId="4" borderId="1" xfId="0" quotePrefix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19" fillId="4" borderId="5" xfId="0" quotePrefix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9" fillId="4" borderId="7" xfId="0" quotePrefix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21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3" borderId="1" xfId="0" quotePrefix="1" applyFont="1" applyFill="1" applyBorder="1" applyAlignment="1">
      <alignment horizontal="center" vertical="center"/>
    </xf>
    <xf numFmtId="0" fontId="22" fillId="3" borderId="1" xfId="0" quotePrefix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20" fillId="0" borderId="7" xfId="0" quotePrefix="1" applyFont="1" applyBorder="1" applyAlignment="1">
      <alignment horizontal="center" vertical="center"/>
    </xf>
    <xf numFmtId="0" fontId="19" fillId="0" borderId="7" xfId="0" quotePrefix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" fontId="21" fillId="0" borderId="1" xfId="0" applyNumberFormat="1" applyFont="1" applyFill="1" applyBorder="1" applyAlignment="1">
      <alignment horizontal="center" vertical="center"/>
    </xf>
    <xf numFmtId="1" fontId="22" fillId="0" borderId="1" xfId="0" applyNumberFormat="1" applyFont="1" applyFill="1" applyBorder="1" applyAlignment="1">
      <alignment horizontal="center" vertical="center"/>
    </xf>
    <xf numFmtId="0" fontId="19" fillId="0" borderId="5" xfId="0" quotePrefix="1" applyFont="1" applyFill="1" applyBorder="1" applyAlignment="1">
      <alignment horizontal="center" vertical="center"/>
    </xf>
    <xf numFmtId="0" fontId="19" fillId="0" borderId="7" xfId="0" quotePrefix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8" fillId="4" borderId="1" xfId="0" quotePrefix="1" applyFont="1" applyFill="1" applyBorder="1" applyAlignment="1">
      <alignment horizontal="center" vertical="center"/>
    </xf>
    <xf numFmtId="0" fontId="18" fillId="4" borderId="5" xfId="0" quotePrefix="1" applyFont="1" applyFill="1" applyBorder="1" applyAlignment="1">
      <alignment horizontal="center" vertical="center"/>
    </xf>
    <xf numFmtId="0" fontId="18" fillId="4" borderId="7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527797</xdr:colOff>
      <xdr:row>0</xdr:row>
      <xdr:rowOff>0</xdr:rowOff>
    </xdr:from>
    <xdr:to>
      <xdr:col>20</xdr:col>
      <xdr:colOff>57613</xdr:colOff>
      <xdr:row>6</xdr:row>
      <xdr:rowOff>138010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6E746B3-9B54-4716-3236-B0AB5D150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8591" y="0"/>
          <a:ext cx="3306198" cy="1236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365797-0401-4358-8357-F464D8788331}">
  <we:reference id="WA200010725" version="1.0.0.1" store="Omex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24CA-E056-4EEF-96AA-E471CB7BBE80}">
  <sheetPr codeName="Feuil1">
    <pageSetUpPr fitToPage="1"/>
  </sheetPr>
  <dimension ref="A1:AB121"/>
  <sheetViews>
    <sheetView tabSelected="1" view="pageBreakPreview" zoomScaleNormal="70" zoomScaleSheetLayoutView="100" workbookViewId="0">
      <pane xSplit="20" ySplit="25" topLeftCell="U52" activePane="bottomRight" state="frozen"/>
      <selection pane="topRight" activeCell="T1" sqref="T1"/>
      <selection pane="bottomLeft" activeCell="A24" sqref="A24"/>
      <selection pane="bottomRight" activeCell="F9" sqref="F9"/>
    </sheetView>
  </sheetViews>
  <sheetFormatPr baseColWidth="10" defaultColWidth="9.140625" defaultRowHeight="12.75" outlineLevelRow="1" x14ac:dyDescent="0.2"/>
  <cols>
    <col min="1" max="1" width="12.5703125" customWidth="1"/>
    <col min="2" max="2" width="24.7109375" bestFit="1" customWidth="1"/>
    <col min="3" max="3" width="21.85546875" customWidth="1"/>
    <col min="4" max="4" width="15.7109375" bestFit="1" customWidth="1"/>
    <col min="5" max="5" width="15.140625" customWidth="1"/>
    <col min="6" max="6" width="12.140625" customWidth="1"/>
    <col min="7" max="8" width="12.42578125" style="24" bestFit="1" customWidth="1"/>
    <col min="9" max="9" width="12.140625" customWidth="1"/>
    <col min="10" max="10" width="9.28515625" style="27" bestFit="1" customWidth="1"/>
    <col min="11" max="11" width="10.28515625" style="27" bestFit="1" customWidth="1"/>
    <col min="12" max="12" width="16.140625" customWidth="1"/>
    <col min="13" max="13" width="7.85546875" bestFit="1" customWidth="1"/>
    <col min="14" max="15" width="12.28515625" style="30" customWidth="1"/>
    <col min="16" max="17" width="11.140625" style="29" customWidth="1"/>
    <col min="18" max="18" width="9.85546875" style="29" bestFit="1" customWidth="1"/>
    <col min="19" max="19" width="10.7109375" style="39" hidden="1" customWidth="1"/>
    <col min="20" max="20" width="10.140625" style="39" hidden="1" customWidth="1"/>
    <col min="21" max="21" width="24.7109375" customWidth="1"/>
    <col min="22" max="256" width="11.42578125" customWidth="1"/>
  </cols>
  <sheetData>
    <row r="1" spans="1:13" ht="18.75" x14ac:dyDescent="0.2">
      <c r="A1" s="3" t="s">
        <v>0</v>
      </c>
      <c r="B1" s="2"/>
      <c r="C1" s="2"/>
      <c r="D1" s="2"/>
      <c r="E1" s="2"/>
      <c r="F1" s="2"/>
      <c r="G1" s="31"/>
      <c r="H1" s="31"/>
      <c r="I1" s="2"/>
      <c r="J1" s="37"/>
      <c r="K1" s="37"/>
      <c r="L1" s="2"/>
      <c r="M1" s="2"/>
    </row>
    <row r="2" spans="1:13" x14ac:dyDescent="0.2">
      <c r="A2" s="20" t="s">
        <v>1</v>
      </c>
      <c r="B2" s="21"/>
      <c r="C2" s="21"/>
      <c r="D2" s="17">
        <v>1.1000000000000001</v>
      </c>
      <c r="F2" s="18"/>
    </row>
    <row r="3" spans="1:13" ht="18.75" x14ac:dyDescent="0.2">
      <c r="A3" s="3"/>
      <c r="B3" s="2"/>
      <c r="C3" s="2"/>
      <c r="D3" s="2"/>
      <c r="F3" s="18"/>
      <c r="G3" s="31"/>
      <c r="H3" s="31"/>
      <c r="I3" s="2"/>
      <c r="J3" s="37"/>
      <c r="K3" s="37"/>
      <c r="L3" s="2"/>
      <c r="M3" s="2"/>
    </row>
    <row r="4" spans="1:13" x14ac:dyDescent="0.2">
      <c r="A4" s="20" t="s">
        <v>2</v>
      </c>
      <c r="B4" s="21"/>
      <c r="C4" s="21"/>
      <c r="D4" s="4">
        <v>70</v>
      </c>
      <c r="F4" s="18"/>
      <c r="G4" s="32"/>
      <c r="H4" s="32"/>
    </row>
    <row r="5" spans="1:13" x14ac:dyDescent="0.2">
      <c r="A5" s="20" t="s">
        <v>3</v>
      </c>
      <c r="B5" s="21"/>
      <c r="C5" s="21"/>
      <c r="D5" s="4">
        <v>50</v>
      </c>
      <c r="F5" s="18"/>
      <c r="G5" s="32"/>
      <c r="H5" s="32"/>
    </row>
    <row r="6" spans="1:13" x14ac:dyDescent="0.2">
      <c r="A6" s="5"/>
      <c r="B6" s="5"/>
      <c r="C6" s="5"/>
      <c r="D6" s="6"/>
      <c r="F6" s="18"/>
    </row>
    <row r="7" spans="1:13" x14ac:dyDescent="0.2">
      <c r="A7" s="20" t="s">
        <v>4</v>
      </c>
      <c r="B7" s="21"/>
      <c r="C7" s="21"/>
      <c r="D7" s="4">
        <v>70</v>
      </c>
      <c r="F7" s="18"/>
    </row>
    <row r="8" spans="1:13" x14ac:dyDescent="0.2">
      <c r="A8" s="20" t="s">
        <v>5</v>
      </c>
      <c r="B8" s="21"/>
      <c r="C8" s="21"/>
      <c r="D8" s="4">
        <v>50</v>
      </c>
      <c r="F8" s="18"/>
    </row>
    <row r="9" spans="1:13" x14ac:dyDescent="0.2">
      <c r="A9" s="12"/>
      <c r="B9" s="13"/>
      <c r="C9" s="13"/>
      <c r="D9" s="7"/>
      <c r="F9" s="18"/>
    </row>
    <row r="10" spans="1:13" x14ac:dyDescent="0.2">
      <c r="A10" s="20" t="s">
        <v>6</v>
      </c>
      <c r="B10" s="21"/>
      <c r="C10" s="21"/>
      <c r="D10" s="17">
        <v>1.1000000000000001</v>
      </c>
      <c r="F10" s="18"/>
    </row>
    <row r="11" spans="1:13" ht="18.75" x14ac:dyDescent="0.2">
      <c r="A11" s="5"/>
      <c r="B11" s="5"/>
      <c r="C11" s="5"/>
      <c r="D11" s="16"/>
      <c r="F11" s="18"/>
      <c r="G11" s="31"/>
      <c r="H11" s="31"/>
    </row>
    <row r="12" spans="1:13" ht="12.75" customHeight="1" x14ac:dyDescent="0.2">
      <c r="A12" s="20" t="s">
        <v>7</v>
      </c>
      <c r="B12" s="21"/>
      <c r="C12" s="21"/>
      <c r="D12" s="22">
        <v>7</v>
      </c>
      <c r="F12" s="18"/>
      <c r="G12" s="33"/>
      <c r="H12" s="34"/>
      <c r="J12" s="33"/>
      <c r="M12" s="8"/>
    </row>
    <row r="13" spans="1:13" ht="12.75" customHeight="1" x14ac:dyDescent="0.2">
      <c r="A13" s="20" t="s">
        <v>8</v>
      </c>
      <c r="B13" s="21"/>
      <c r="C13" s="21"/>
      <c r="D13" s="4">
        <v>15</v>
      </c>
      <c r="F13" s="18"/>
      <c r="H13" s="34"/>
      <c r="M13" s="8"/>
    </row>
    <row r="14" spans="1:13" x14ac:dyDescent="0.2">
      <c r="A14" s="5"/>
      <c r="B14" s="5"/>
      <c r="C14" s="5"/>
      <c r="D14" s="6"/>
      <c r="F14" s="18"/>
      <c r="M14" s="8"/>
    </row>
    <row r="15" spans="1:13" hidden="1" outlineLevel="1" x14ac:dyDescent="0.2">
      <c r="A15" s="20" t="s">
        <v>9</v>
      </c>
      <c r="B15" s="21"/>
      <c r="C15" s="21"/>
      <c r="D15" s="22">
        <v>7</v>
      </c>
      <c r="F15" s="18"/>
      <c r="M15" s="8"/>
    </row>
    <row r="16" spans="1:13" hidden="1" outlineLevel="1" x14ac:dyDescent="0.2">
      <c r="A16" s="20" t="s">
        <v>10</v>
      </c>
      <c r="B16" s="21"/>
      <c r="C16" s="21"/>
      <c r="D16" s="4">
        <v>15</v>
      </c>
      <c r="F16" s="18"/>
    </row>
    <row r="17" spans="1:28" hidden="1" outlineLevel="1" x14ac:dyDescent="0.2">
      <c r="A17" s="20"/>
      <c r="B17" s="21"/>
      <c r="C17" s="21"/>
      <c r="D17" s="11"/>
      <c r="F17" s="18"/>
    </row>
    <row r="18" spans="1:28" ht="12.75" customHeight="1" collapsed="1" x14ac:dyDescent="0.2">
      <c r="A18" s="20" t="s">
        <v>11</v>
      </c>
      <c r="B18" s="21"/>
      <c r="C18" s="21"/>
      <c r="D18" s="17">
        <v>1.1000000000000001</v>
      </c>
      <c r="F18" s="18"/>
      <c r="G18" s="31"/>
      <c r="H18" s="31"/>
      <c r="M18" s="8"/>
    </row>
    <row r="19" spans="1:28" ht="18.75" x14ac:dyDescent="0.2">
      <c r="E19" s="9"/>
      <c r="F19" s="9"/>
      <c r="G19" s="35"/>
      <c r="H19" s="35"/>
      <c r="I19" s="9"/>
      <c r="J19" s="38"/>
      <c r="K19" s="38"/>
      <c r="L19" s="9"/>
      <c r="M19" s="9"/>
      <c r="N19" s="25"/>
      <c r="O19" s="25"/>
      <c r="P19" s="28"/>
      <c r="Q19" s="52"/>
    </row>
    <row r="20" spans="1:28" ht="13.9" customHeight="1" x14ac:dyDescent="0.2">
      <c r="A20" s="59" t="s">
        <v>12</v>
      </c>
      <c r="B20" s="59"/>
      <c r="C20" s="59"/>
      <c r="D20" s="63" t="s">
        <v>13</v>
      </c>
      <c r="E20" s="15" t="s">
        <v>14</v>
      </c>
      <c r="F20" s="59" t="s">
        <v>15</v>
      </c>
      <c r="G20" s="59"/>
      <c r="H20" s="59"/>
      <c r="I20" s="59"/>
      <c r="J20" s="59"/>
      <c r="K20" s="59"/>
      <c r="L20" s="58" t="s">
        <v>16</v>
      </c>
      <c r="M20" s="58"/>
      <c r="N20" s="58"/>
      <c r="O20" s="58"/>
      <c r="P20" s="58"/>
      <c r="Q20" s="58"/>
      <c r="R20" s="58"/>
      <c r="S20" s="60" t="s">
        <v>17</v>
      </c>
      <c r="T20" s="61"/>
      <c r="U20" s="55" t="s">
        <v>18</v>
      </c>
    </row>
    <row r="21" spans="1:28" x14ac:dyDescent="0.2">
      <c r="A21" s="59"/>
      <c r="B21" s="59"/>
      <c r="C21" s="59"/>
      <c r="D21" s="63"/>
      <c r="E21" s="15"/>
      <c r="F21" s="59"/>
      <c r="G21" s="59"/>
      <c r="H21" s="59"/>
      <c r="I21" s="59"/>
      <c r="J21" s="59"/>
      <c r="K21" s="59"/>
      <c r="L21" s="58"/>
      <c r="M21" s="58"/>
      <c r="N21" s="58"/>
      <c r="O21" s="58"/>
      <c r="P21" s="58"/>
      <c r="Q21" s="58"/>
      <c r="R21" s="58"/>
      <c r="S21" s="60"/>
      <c r="T21" s="61"/>
      <c r="U21" s="56"/>
    </row>
    <row r="22" spans="1:28" x14ac:dyDescent="0.2">
      <c r="A22" s="59"/>
      <c r="B22" s="59"/>
      <c r="C22" s="59"/>
      <c r="D22" s="63"/>
      <c r="E22" s="15"/>
      <c r="F22" s="59"/>
      <c r="G22" s="59"/>
      <c r="H22" s="59"/>
      <c r="I22" s="59"/>
      <c r="J22" s="59"/>
      <c r="K22" s="59"/>
      <c r="L22" s="58"/>
      <c r="M22" s="58"/>
      <c r="N22" s="58"/>
      <c r="O22" s="58"/>
      <c r="P22" s="58"/>
      <c r="Q22" s="58"/>
      <c r="R22" s="58"/>
      <c r="S22" s="60"/>
      <c r="T22" s="61"/>
      <c r="U22" s="56"/>
    </row>
    <row r="23" spans="1:28" ht="24.75" customHeight="1" x14ac:dyDescent="0.2">
      <c r="A23" s="63" t="s">
        <v>19</v>
      </c>
      <c r="B23" s="64" t="s">
        <v>20</v>
      </c>
      <c r="C23" s="63" t="s">
        <v>21</v>
      </c>
      <c r="D23" s="63"/>
      <c r="E23" s="63" t="s">
        <v>22</v>
      </c>
      <c r="F23" s="63" t="s">
        <v>23</v>
      </c>
      <c r="G23" s="62" t="s">
        <v>24</v>
      </c>
      <c r="H23" s="62" t="s">
        <v>25</v>
      </c>
      <c r="I23" s="63" t="s">
        <v>26</v>
      </c>
      <c r="J23" s="53" t="s">
        <v>27</v>
      </c>
      <c r="K23" s="53" t="s">
        <v>116</v>
      </c>
      <c r="L23" s="63" t="s">
        <v>86</v>
      </c>
      <c r="M23" s="54" t="s">
        <v>28</v>
      </c>
      <c r="N23" s="62" t="s">
        <v>29</v>
      </c>
      <c r="O23" s="62" t="s">
        <v>88</v>
      </c>
      <c r="P23" s="53" t="s">
        <v>30</v>
      </c>
      <c r="Q23" s="53" t="s">
        <v>89</v>
      </c>
      <c r="R23" s="53" t="s">
        <v>87</v>
      </c>
      <c r="S23" s="61"/>
      <c r="T23" s="61"/>
      <c r="U23" s="56"/>
    </row>
    <row r="24" spans="1:28" ht="25.5" x14ac:dyDescent="0.2">
      <c r="A24" s="63"/>
      <c r="B24" s="65"/>
      <c r="C24" s="63"/>
      <c r="D24" s="63"/>
      <c r="E24" s="63"/>
      <c r="F24" s="63"/>
      <c r="G24" s="62"/>
      <c r="H24" s="62"/>
      <c r="I24" s="63"/>
      <c r="J24" s="53"/>
      <c r="K24" s="53"/>
      <c r="L24" s="63"/>
      <c r="M24" s="54"/>
      <c r="N24" s="62"/>
      <c r="O24" s="62"/>
      <c r="P24" s="53"/>
      <c r="Q24" s="53"/>
      <c r="R24" s="53"/>
      <c r="S24" s="23" t="s">
        <v>31</v>
      </c>
      <c r="T24" s="23" t="s">
        <v>32</v>
      </c>
      <c r="U24" s="56"/>
      <c r="V24" s="10"/>
      <c r="W24" s="10"/>
      <c r="X24" s="10"/>
      <c r="Y24" s="10"/>
      <c r="Z24" s="10"/>
      <c r="AA24" s="10"/>
      <c r="AB24" s="10"/>
    </row>
    <row r="25" spans="1:28" x14ac:dyDescent="0.2">
      <c r="A25" s="63"/>
      <c r="B25" s="66"/>
      <c r="C25" s="63"/>
      <c r="D25" s="63"/>
      <c r="E25" s="14" t="s">
        <v>33</v>
      </c>
      <c r="F25" s="14" t="s">
        <v>34</v>
      </c>
      <c r="G25" s="45" t="s">
        <v>35</v>
      </c>
      <c r="H25" s="45" t="s">
        <v>35</v>
      </c>
      <c r="I25" s="14" t="s">
        <v>34</v>
      </c>
      <c r="J25" s="44" t="s">
        <v>35</v>
      </c>
      <c r="K25" s="44" t="s">
        <v>35</v>
      </c>
      <c r="L25" s="63"/>
      <c r="M25" s="54"/>
      <c r="N25" s="45" t="s">
        <v>35</v>
      </c>
      <c r="O25" s="45" t="s">
        <v>35</v>
      </c>
      <c r="P25" s="44" t="s">
        <v>35</v>
      </c>
      <c r="Q25" s="44" t="s">
        <v>35</v>
      </c>
      <c r="R25" s="44" t="s">
        <v>36</v>
      </c>
      <c r="S25" s="23"/>
      <c r="T25" s="23"/>
      <c r="U25" s="57"/>
      <c r="V25" s="1"/>
      <c r="W25" s="1"/>
      <c r="X25" s="1"/>
      <c r="Y25" s="10"/>
      <c r="Z25" s="10"/>
      <c r="AA25" s="10"/>
      <c r="AB25" s="10"/>
    </row>
    <row r="26" spans="1:28" ht="7.5" customHeight="1" x14ac:dyDescent="0.2">
      <c r="A26" s="46"/>
      <c r="B26" s="46"/>
      <c r="C26" s="46"/>
      <c r="D26" s="46"/>
      <c r="E26" s="46"/>
      <c r="F26" s="46"/>
      <c r="G26" s="47"/>
      <c r="H26" s="47"/>
      <c r="I26" s="46"/>
      <c r="J26" s="48"/>
      <c r="K26" s="48"/>
      <c r="L26" s="46"/>
      <c r="M26" s="46"/>
      <c r="N26" s="47"/>
      <c r="O26" s="47"/>
      <c r="P26" s="48"/>
      <c r="Q26" s="48"/>
      <c r="R26" s="48"/>
      <c r="S26" s="46"/>
      <c r="T26" s="46"/>
      <c r="U26" s="49"/>
      <c r="V26" s="1"/>
      <c r="W26" s="1"/>
      <c r="X26" s="1"/>
      <c r="Y26" s="10"/>
      <c r="Z26" s="10"/>
      <c r="AA26" s="10"/>
      <c r="AB26" s="10"/>
    </row>
    <row r="27" spans="1:28" ht="12.75" customHeight="1" x14ac:dyDescent="0.2">
      <c r="A27" s="74" t="s">
        <v>45</v>
      </c>
      <c r="B27" s="67" t="s">
        <v>113</v>
      </c>
      <c r="C27" s="67" t="s">
        <v>67</v>
      </c>
      <c r="D27" s="82" t="s">
        <v>114</v>
      </c>
      <c r="E27" s="67">
        <v>119.2</v>
      </c>
      <c r="F27" s="83">
        <v>19</v>
      </c>
      <c r="G27" s="84">
        <v>6908</v>
      </c>
      <c r="H27" s="84">
        <f>G27*D$2</f>
        <v>7598.8</v>
      </c>
      <c r="I27" s="83">
        <v>28</v>
      </c>
      <c r="J27" s="85">
        <v>14701</v>
      </c>
      <c r="K27" s="85">
        <f>J27*D$2</f>
        <v>16171.100000000002</v>
      </c>
      <c r="L27" s="83" t="s">
        <v>85</v>
      </c>
      <c r="M27" s="86">
        <v>2</v>
      </c>
      <c r="N27" s="84">
        <v>11400</v>
      </c>
      <c r="O27" s="84">
        <f>M27*N27</f>
        <v>22800</v>
      </c>
      <c r="P27" s="87">
        <v>10600</v>
      </c>
      <c r="Q27" s="87">
        <f>M27*P27</f>
        <v>21200</v>
      </c>
      <c r="R27" s="87">
        <v>1920</v>
      </c>
      <c r="S27" s="40" t="s">
        <v>38</v>
      </c>
      <c r="T27" s="19" t="s">
        <v>37</v>
      </c>
      <c r="U27" s="51"/>
      <c r="X27" s="1"/>
    </row>
    <row r="28" spans="1:28" ht="15.75" x14ac:dyDescent="0.2">
      <c r="A28" s="74" t="s">
        <v>45</v>
      </c>
      <c r="B28" s="67" t="s">
        <v>113</v>
      </c>
      <c r="C28" s="67" t="s">
        <v>65</v>
      </c>
      <c r="D28" s="82" t="s">
        <v>114</v>
      </c>
      <c r="E28" s="67">
        <v>31.14</v>
      </c>
      <c r="F28" s="83">
        <v>19</v>
      </c>
      <c r="G28" s="84">
        <v>1077</v>
      </c>
      <c r="H28" s="84">
        <f t="shared" ref="H28:H29" si="0">G28*D$2</f>
        <v>1184.7</v>
      </c>
      <c r="I28" s="83">
        <v>28</v>
      </c>
      <c r="J28" s="85">
        <v>3943</v>
      </c>
      <c r="K28" s="85">
        <f t="shared" ref="K28:K40" si="1">J28*D$2</f>
        <v>4337.3</v>
      </c>
      <c r="L28" s="83" t="s">
        <v>90</v>
      </c>
      <c r="M28" s="86">
        <v>2</v>
      </c>
      <c r="N28" s="84">
        <v>3200</v>
      </c>
      <c r="O28" s="84">
        <f t="shared" ref="O28:O81" si="2">M28*N28</f>
        <v>6400</v>
      </c>
      <c r="P28" s="87">
        <v>2800</v>
      </c>
      <c r="Q28" s="87">
        <f t="shared" ref="Q28:Q81" si="3">M28*P28</f>
        <v>5600</v>
      </c>
      <c r="R28" s="87">
        <v>840</v>
      </c>
      <c r="S28" s="40"/>
      <c r="T28" s="19"/>
      <c r="U28" s="51"/>
      <c r="X28" s="1"/>
    </row>
    <row r="29" spans="1:28" ht="15.75" x14ac:dyDescent="0.2">
      <c r="A29" s="74" t="s">
        <v>45</v>
      </c>
      <c r="B29" s="67" t="s">
        <v>113</v>
      </c>
      <c r="C29" s="67" t="s">
        <v>66</v>
      </c>
      <c r="D29" s="82" t="s">
        <v>114</v>
      </c>
      <c r="E29" s="67">
        <v>49.6</v>
      </c>
      <c r="F29" s="83">
        <v>19</v>
      </c>
      <c r="G29" s="84">
        <v>1552</v>
      </c>
      <c r="H29" s="84">
        <f t="shared" si="0"/>
        <v>1707.2</v>
      </c>
      <c r="I29" s="83">
        <v>28</v>
      </c>
      <c r="J29" s="85">
        <v>5521</v>
      </c>
      <c r="K29" s="85">
        <f>J29*D$2</f>
        <v>6073.1</v>
      </c>
      <c r="L29" s="83" t="s">
        <v>91</v>
      </c>
      <c r="M29" s="86">
        <v>2</v>
      </c>
      <c r="N29" s="84">
        <v>5000</v>
      </c>
      <c r="O29" s="84">
        <f t="shared" si="2"/>
        <v>10000</v>
      </c>
      <c r="P29" s="87">
        <v>4500</v>
      </c>
      <c r="Q29" s="87">
        <f t="shared" si="3"/>
        <v>9000</v>
      </c>
      <c r="R29" s="87">
        <v>840</v>
      </c>
      <c r="S29" s="40"/>
      <c r="T29" s="19"/>
      <c r="U29" s="51"/>
      <c r="X29" s="1"/>
    </row>
    <row r="30" spans="1:28" ht="3.75" customHeight="1" x14ac:dyDescent="0.2">
      <c r="A30" s="75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50"/>
      <c r="T30" s="50"/>
      <c r="U30" s="50"/>
      <c r="X30" s="1"/>
    </row>
    <row r="31" spans="1:28" ht="15.75" x14ac:dyDescent="0.2">
      <c r="A31" s="74" t="s">
        <v>46</v>
      </c>
      <c r="B31" s="67" t="s">
        <v>113</v>
      </c>
      <c r="C31" s="67" t="s">
        <v>68</v>
      </c>
      <c r="D31" s="82" t="s">
        <v>114</v>
      </c>
      <c r="E31" s="67">
        <v>36</v>
      </c>
      <c r="F31" s="83">
        <v>19</v>
      </c>
      <c r="G31" s="84">
        <v>1560</v>
      </c>
      <c r="H31" s="84">
        <f>G31*D$2</f>
        <v>1716.0000000000002</v>
      </c>
      <c r="I31" s="83">
        <v>28</v>
      </c>
      <c r="J31" s="85">
        <v>1004</v>
      </c>
      <c r="K31" s="85">
        <f t="shared" si="1"/>
        <v>1104.4000000000001</v>
      </c>
      <c r="L31" s="83" t="s">
        <v>92</v>
      </c>
      <c r="M31" s="86">
        <v>1</v>
      </c>
      <c r="N31" s="84">
        <v>4200</v>
      </c>
      <c r="O31" s="84">
        <f t="shared" si="2"/>
        <v>4200</v>
      </c>
      <c r="P31" s="87">
        <v>3600</v>
      </c>
      <c r="Q31" s="87">
        <f t="shared" si="3"/>
        <v>3600</v>
      </c>
      <c r="R31" s="87">
        <v>840</v>
      </c>
      <c r="S31" s="40"/>
      <c r="T31" s="19"/>
      <c r="U31" s="51"/>
      <c r="X31" s="1"/>
    </row>
    <row r="32" spans="1:28" ht="3" customHeight="1" x14ac:dyDescent="0.2">
      <c r="A32" s="75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50"/>
      <c r="T32" s="50"/>
      <c r="U32" s="50"/>
      <c r="X32" s="1"/>
    </row>
    <row r="33" spans="1:28" ht="15.75" x14ac:dyDescent="0.2">
      <c r="A33" s="76" t="s">
        <v>47</v>
      </c>
      <c r="B33" s="69" t="s">
        <v>113</v>
      </c>
      <c r="C33" s="69" t="s">
        <v>94</v>
      </c>
      <c r="D33" s="137" t="s">
        <v>130</v>
      </c>
      <c r="E33" s="69">
        <v>196.4</v>
      </c>
      <c r="F33" s="89">
        <v>19</v>
      </c>
      <c r="G33" s="90">
        <v>6983</v>
      </c>
      <c r="H33" s="90">
        <f>G33*D$2</f>
        <v>7681.3</v>
      </c>
      <c r="I33" s="89">
        <v>28</v>
      </c>
      <c r="J33" s="91">
        <v>16704</v>
      </c>
      <c r="K33" s="91">
        <f t="shared" si="1"/>
        <v>18374.400000000001</v>
      </c>
      <c r="L33" s="83" t="s">
        <v>92</v>
      </c>
      <c r="M33" s="86">
        <v>4</v>
      </c>
      <c r="N33" s="84">
        <v>4200</v>
      </c>
      <c r="O33" s="84">
        <f t="shared" si="2"/>
        <v>16800</v>
      </c>
      <c r="P33" s="87">
        <v>3600</v>
      </c>
      <c r="Q33" s="87">
        <f t="shared" si="3"/>
        <v>14400</v>
      </c>
      <c r="R33" s="87">
        <v>840</v>
      </c>
      <c r="S33" s="40"/>
      <c r="T33" s="19"/>
      <c r="U33" s="51"/>
      <c r="X33" s="1"/>
    </row>
    <row r="34" spans="1:28" ht="15.75" x14ac:dyDescent="0.2">
      <c r="A34" s="77"/>
      <c r="B34" s="70"/>
      <c r="C34" s="70"/>
      <c r="D34" s="138"/>
      <c r="E34" s="70"/>
      <c r="F34" s="93"/>
      <c r="G34" s="94"/>
      <c r="H34" s="94"/>
      <c r="I34" s="93"/>
      <c r="J34" s="95"/>
      <c r="K34" s="95"/>
      <c r="L34" s="83" t="s">
        <v>95</v>
      </c>
      <c r="M34" s="86">
        <v>4</v>
      </c>
      <c r="N34" s="84">
        <v>1700</v>
      </c>
      <c r="O34" s="84">
        <f t="shared" si="2"/>
        <v>6800</v>
      </c>
      <c r="P34" s="87">
        <v>1500</v>
      </c>
      <c r="Q34" s="87">
        <f t="shared" si="3"/>
        <v>6000</v>
      </c>
      <c r="R34" s="87">
        <v>840</v>
      </c>
      <c r="S34" s="40"/>
      <c r="T34" s="19"/>
      <c r="U34" s="51"/>
      <c r="X34" s="1"/>
    </row>
    <row r="35" spans="1:28" ht="15.75" x14ac:dyDescent="0.2">
      <c r="A35" s="74" t="s">
        <v>47</v>
      </c>
      <c r="B35" s="67" t="s">
        <v>113</v>
      </c>
      <c r="C35" s="67" t="s">
        <v>109</v>
      </c>
      <c r="D35" s="82" t="s">
        <v>114</v>
      </c>
      <c r="E35" s="67">
        <v>55.1</v>
      </c>
      <c r="F35" s="83">
        <v>19</v>
      </c>
      <c r="G35" s="84">
        <v>1446</v>
      </c>
      <c r="H35" s="84">
        <f t="shared" ref="H35:H40" si="4">G35*D$2</f>
        <v>1590.6000000000001</v>
      </c>
      <c r="I35" s="83">
        <v>28</v>
      </c>
      <c r="J35" s="85">
        <v>4770</v>
      </c>
      <c r="K35" s="85">
        <f>J35*D$2</f>
        <v>5247</v>
      </c>
      <c r="L35" s="83" t="s">
        <v>92</v>
      </c>
      <c r="M35" s="86">
        <v>2</v>
      </c>
      <c r="N35" s="84">
        <v>4200</v>
      </c>
      <c r="O35" s="84">
        <f t="shared" si="2"/>
        <v>8400</v>
      </c>
      <c r="P35" s="87">
        <v>3600</v>
      </c>
      <c r="Q35" s="87">
        <f t="shared" si="3"/>
        <v>7200</v>
      </c>
      <c r="R35" s="87">
        <v>840</v>
      </c>
      <c r="S35" s="40"/>
      <c r="T35" s="19"/>
      <c r="U35" s="51"/>
      <c r="X35" s="1"/>
    </row>
    <row r="36" spans="1:28" ht="15.75" x14ac:dyDescent="0.2">
      <c r="A36" s="74" t="s">
        <v>47</v>
      </c>
      <c r="B36" s="67" t="s">
        <v>113</v>
      </c>
      <c r="C36" s="67" t="s">
        <v>108</v>
      </c>
      <c r="D36" s="82" t="s">
        <v>114</v>
      </c>
      <c r="E36" s="67">
        <v>56.3</v>
      </c>
      <c r="F36" s="83">
        <f>F35</f>
        <v>19</v>
      </c>
      <c r="G36" s="84">
        <v>1451</v>
      </c>
      <c r="H36" s="84">
        <f t="shared" si="4"/>
        <v>1596.1000000000001</v>
      </c>
      <c r="I36" s="83">
        <v>28</v>
      </c>
      <c r="J36" s="85">
        <v>3924</v>
      </c>
      <c r="K36" s="85">
        <f t="shared" si="1"/>
        <v>4316.4000000000005</v>
      </c>
      <c r="L36" s="83" t="s">
        <v>97</v>
      </c>
      <c r="M36" s="86">
        <v>2</v>
      </c>
      <c r="N36" s="84">
        <v>6300</v>
      </c>
      <c r="O36" s="84">
        <f t="shared" si="2"/>
        <v>12600</v>
      </c>
      <c r="P36" s="87">
        <v>5600</v>
      </c>
      <c r="Q36" s="87">
        <f t="shared" si="3"/>
        <v>11200</v>
      </c>
      <c r="R36" s="87">
        <v>960</v>
      </c>
      <c r="S36" s="40"/>
      <c r="T36" s="19"/>
      <c r="U36" s="51"/>
      <c r="X36" s="1"/>
    </row>
    <row r="37" spans="1:28" ht="15.75" x14ac:dyDescent="0.2">
      <c r="A37" s="74" t="s">
        <v>47</v>
      </c>
      <c r="B37" s="67" t="s">
        <v>113</v>
      </c>
      <c r="C37" s="67" t="s">
        <v>101</v>
      </c>
      <c r="D37" s="82" t="s">
        <v>114</v>
      </c>
      <c r="E37" s="67">
        <v>63.3</v>
      </c>
      <c r="F37" s="83">
        <f t="shared" ref="F37:F40" si="5">F36</f>
        <v>19</v>
      </c>
      <c r="G37" s="84">
        <v>1568</v>
      </c>
      <c r="H37" s="84">
        <f t="shared" si="4"/>
        <v>1724.8000000000002</v>
      </c>
      <c r="I37" s="83">
        <v>28</v>
      </c>
      <c r="J37" s="85">
        <v>5178</v>
      </c>
      <c r="K37" s="85">
        <f t="shared" si="1"/>
        <v>5695.8</v>
      </c>
      <c r="L37" s="83" t="s">
        <v>90</v>
      </c>
      <c r="M37" s="86">
        <v>3</v>
      </c>
      <c r="N37" s="84">
        <v>3200</v>
      </c>
      <c r="O37" s="84">
        <f t="shared" si="2"/>
        <v>9600</v>
      </c>
      <c r="P37" s="87">
        <v>2800</v>
      </c>
      <c r="Q37" s="87">
        <f t="shared" si="3"/>
        <v>8400</v>
      </c>
      <c r="R37" s="87">
        <v>840</v>
      </c>
      <c r="S37" s="40"/>
      <c r="T37" s="19"/>
      <c r="U37" s="51"/>
      <c r="X37" s="1"/>
    </row>
    <row r="38" spans="1:28" ht="15.75" x14ac:dyDescent="0.2">
      <c r="A38" s="74" t="s">
        <v>47</v>
      </c>
      <c r="B38" s="67" t="s">
        <v>113</v>
      </c>
      <c r="C38" s="67" t="s">
        <v>104</v>
      </c>
      <c r="D38" s="82" t="s">
        <v>114</v>
      </c>
      <c r="E38" s="67">
        <v>24</v>
      </c>
      <c r="F38" s="83">
        <f t="shared" si="5"/>
        <v>19</v>
      </c>
      <c r="G38" s="84">
        <v>602</v>
      </c>
      <c r="H38" s="84">
        <f t="shared" si="4"/>
        <v>662.2</v>
      </c>
      <c r="I38" s="83">
        <v>28</v>
      </c>
      <c r="J38" s="85">
        <v>2418</v>
      </c>
      <c r="K38" s="85">
        <f t="shared" si="1"/>
        <v>2659.8</v>
      </c>
      <c r="L38" s="83" t="s">
        <v>92</v>
      </c>
      <c r="M38" s="86">
        <v>1</v>
      </c>
      <c r="N38" s="84">
        <v>4200</v>
      </c>
      <c r="O38" s="84">
        <f t="shared" si="2"/>
        <v>4200</v>
      </c>
      <c r="P38" s="87">
        <v>3600</v>
      </c>
      <c r="Q38" s="87">
        <f t="shared" si="3"/>
        <v>3600</v>
      </c>
      <c r="R38" s="87">
        <v>840</v>
      </c>
      <c r="S38" s="40"/>
      <c r="T38" s="19"/>
      <c r="U38" s="51"/>
      <c r="X38" s="1"/>
    </row>
    <row r="39" spans="1:28" ht="15.75" x14ac:dyDescent="0.2">
      <c r="A39" s="74" t="s">
        <v>47</v>
      </c>
      <c r="B39" s="67" t="s">
        <v>113</v>
      </c>
      <c r="C39" s="67" t="s">
        <v>107</v>
      </c>
      <c r="D39" s="82" t="s">
        <v>114</v>
      </c>
      <c r="E39" s="67">
        <v>19.100000000000001</v>
      </c>
      <c r="F39" s="83">
        <f t="shared" si="5"/>
        <v>19</v>
      </c>
      <c r="G39" s="84">
        <v>450</v>
      </c>
      <c r="H39" s="84">
        <f t="shared" si="4"/>
        <v>495.00000000000006</v>
      </c>
      <c r="I39" s="83">
        <v>28</v>
      </c>
      <c r="J39" s="85">
        <v>2045</v>
      </c>
      <c r="K39" s="85">
        <f t="shared" si="1"/>
        <v>2249.5</v>
      </c>
      <c r="L39" s="83" t="s">
        <v>92</v>
      </c>
      <c r="M39" s="86">
        <v>1</v>
      </c>
      <c r="N39" s="84">
        <v>4200</v>
      </c>
      <c r="O39" s="84">
        <f t="shared" si="2"/>
        <v>4200</v>
      </c>
      <c r="P39" s="87">
        <v>3600</v>
      </c>
      <c r="Q39" s="87">
        <f t="shared" si="3"/>
        <v>3600</v>
      </c>
      <c r="R39" s="87">
        <v>840</v>
      </c>
      <c r="S39" s="40"/>
      <c r="T39" s="19"/>
      <c r="U39" s="51"/>
      <c r="X39" s="1"/>
    </row>
    <row r="40" spans="1:28" ht="15.75" x14ac:dyDescent="0.2">
      <c r="A40" s="74" t="s">
        <v>47</v>
      </c>
      <c r="B40" s="67" t="s">
        <v>113</v>
      </c>
      <c r="C40" s="67" t="s">
        <v>102</v>
      </c>
      <c r="D40" s="82" t="s">
        <v>114</v>
      </c>
      <c r="E40" s="67">
        <v>20.3</v>
      </c>
      <c r="F40" s="83">
        <f t="shared" si="5"/>
        <v>19</v>
      </c>
      <c r="G40" s="84">
        <v>520</v>
      </c>
      <c r="H40" s="84">
        <f t="shared" si="4"/>
        <v>572</v>
      </c>
      <c r="I40" s="83">
        <v>28</v>
      </c>
      <c r="J40" s="85">
        <v>1361</v>
      </c>
      <c r="K40" s="85">
        <f t="shared" si="1"/>
        <v>1497.1000000000001</v>
      </c>
      <c r="L40" s="83" t="s">
        <v>93</v>
      </c>
      <c r="M40" s="86">
        <v>1</v>
      </c>
      <c r="N40" s="84">
        <v>2500</v>
      </c>
      <c r="O40" s="84">
        <f t="shared" si="2"/>
        <v>2500</v>
      </c>
      <c r="P40" s="87">
        <v>2200</v>
      </c>
      <c r="Q40" s="87">
        <f t="shared" si="3"/>
        <v>2200</v>
      </c>
      <c r="R40" s="87">
        <v>840</v>
      </c>
      <c r="S40" s="40"/>
      <c r="T40" s="19"/>
      <c r="U40" s="51"/>
      <c r="X40" s="1"/>
    </row>
    <row r="41" spans="1:28" ht="7.5" customHeight="1" x14ac:dyDescent="0.2">
      <c r="A41" s="71"/>
      <c r="B41" s="71"/>
      <c r="C41" s="71"/>
      <c r="D41" s="71"/>
      <c r="E41" s="71"/>
      <c r="F41" s="71"/>
      <c r="G41" s="96"/>
      <c r="H41" s="96"/>
      <c r="I41" s="71"/>
      <c r="J41" s="97"/>
      <c r="K41" s="97"/>
      <c r="L41" s="71"/>
      <c r="M41" s="71"/>
      <c r="N41" s="96"/>
      <c r="O41" s="96"/>
      <c r="P41" s="96"/>
      <c r="Q41" s="96"/>
      <c r="R41" s="97"/>
      <c r="S41" s="46"/>
      <c r="T41" s="46"/>
      <c r="U41" s="49"/>
      <c r="V41" s="1"/>
      <c r="W41" s="1"/>
      <c r="X41" s="1"/>
      <c r="Y41" s="10"/>
      <c r="Z41" s="10"/>
      <c r="AA41" s="10"/>
      <c r="AB41" s="10"/>
    </row>
    <row r="42" spans="1:28" ht="15.75" x14ac:dyDescent="0.2">
      <c r="A42" s="76" t="s">
        <v>48</v>
      </c>
      <c r="B42" s="69" t="s">
        <v>113</v>
      </c>
      <c r="C42" s="69" t="s">
        <v>63</v>
      </c>
      <c r="D42" s="88" t="s">
        <v>114</v>
      </c>
      <c r="E42" s="69">
        <v>151.69999999999999</v>
      </c>
      <c r="F42" s="89">
        <v>19</v>
      </c>
      <c r="G42" s="98">
        <v>6071</v>
      </c>
      <c r="H42" s="90">
        <f>G42*D$2</f>
        <v>6678.1</v>
      </c>
      <c r="I42" s="89">
        <v>28</v>
      </c>
      <c r="J42" s="91">
        <v>14961</v>
      </c>
      <c r="K42" s="91">
        <f t="shared" ref="K42:K98" si="6">J42*D$2</f>
        <v>16457.100000000002</v>
      </c>
      <c r="L42" s="83" t="s">
        <v>96</v>
      </c>
      <c r="M42" s="86">
        <v>1</v>
      </c>
      <c r="N42" s="84">
        <v>10000</v>
      </c>
      <c r="O42" s="84">
        <f t="shared" si="2"/>
        <v>10000</v>
      </c>
      <c r="P42" s="87">
        <v>9000</v>
      </c>
      <c r="Q42" s="87">
        <f t="shared" si="3"/>
        <v>9000</v>
      </c>
      <c r="R42" s="87">
        <v>1500</v>
      </c>
      <c r="S42" s="41" t="s">
        <v>39</v>
      </c>
      <c r="T42" s="41" t="s">
        <v>39</v>
      </c>
      <c r="U42" s="36"/>
      <c r="X42" s="1"/>
    </row>
    <row r="43" spans="1:28" ht="15.75" x14ac:dyDescent="0.2">
      <c r="A43" s="77"/>
      <c r="B43" s="70"/>
      <c r="C43" s="70"/>
      <c r="D43" s="92"/>
      <c r="E43" s="70"/>
      <c r="F43" s="93"/>
      <c r="G43" s="99"/>
      <c r="H43" s="94"/>
      <c r="I43" s="93"/>
      <c r="J43" s="95"/>
      <c r="K43" s="95"/>
      <c r="L43" s="83" t="s">
        <v>90</v>
      </c>
      <c r="M43" s="86">
        <v>4</v>
      </c>
      <c r="N43" s="84">
        <v>3200</v>
      </c>
      <c r="O43" s="84">
        <f t="shared" si="2"/>
        <v>12800</v>
      </c>
      <c r="P43" s="87">
        <v>2800</v>
      </c>
      <c r="Q43" s="87">
        <f t="shared" si="3"/>
        <v>11200</v>
      </c>
      <c r="R43" s="87">
        <v>840</v>
      </c>
      <c r="S43" s="41"/>
      <c r="T43" s="41"/>
      <c r="U43" s="36"/>
      <c r="X43" s="1"/>
    </row>
    <row r="44" spans="1:28" ht="15.75" x14ac:dyDescent="0.2">
      <c r="A44" s="74" t="s">
        <v>48</v>
      </c>
      <c r="B44" s="67" t="s">
        <v>113</v>
      </c>
      <c r="C44" s="67" t="s">
        <v>117</v>
      </c>
      <c r="D44" s="82" t="s">
        <v>114</v>
      </c>
      <c r="E44" s="67">
        <v>18.5</v>
      </c>
      <c r="F44" s="83">
        <v>19</v>
      </c>
      <c r="G44" s="100">
        <v>362</v>
      </c>
      <c r="H44" s="84">
        <f t="shared" ref="H44:H46" si="7">G44*D$2</f>
        <v>398.20000000000005</v>
      </c>
      <c r="I44" s="83">
        <v>28</v>
      </c>
      <c r="J44" s="85">
        <v>1908</v>
      </c>
      <c r="K44" s="85">
        <f t="shared" si="6"/>
        <v>2098.8000000000002</v>
      </c>
      <c r="L44" s="83" t="s">
        <v>93</v>
      </c>
      <c r="M44" s="86">
        <v>1</v>
      </c>
      <c r="N44" s="84">
        <v>2500</v>
      </c>
      <c r="O44" s="84">
        <f>M44*N44</f>
        <v>2500</v>
      </c>
      <c r="P44" s="87">
        <v>2200</v>
      </c>
      <c r="Q44" s="87">
        <f t="shared" si="3"/>
        <v>2200</v>
      </c>
      <c r="R44" s="87">
        <v>840</v>
      </c>
      <c r="S44" s="41"/>
      <c r="T44" s="41"/>
      <c r="U44" s="36"/>
      <c r="X44" s="1"/>
    </row>
    <row r="45" spans="1:28" ht="15.75" x14ac:dyDescent="0.2">
      <c r="A45" s="74" t="s">
        <v>48</v>
      </c>
      <c r="B45" s="67" t="s">
        <v>113</v>
      </c>
      <c r="C45" s="67" t="s">
        <v>118</v>
      </c>
      <c r="D45" s="82" t="s">
        <v>114</v>
      </c>
      <c r="E45" s="72">
        <v>21.5</v>
      </c>
      <c r="F45" s="83">
        <v>19</v>
      </c>
      <c r="G45" s="101">
        <v>524</v>
      </c>
      <c r="H45" s="84">
        <f t="shared" si="7"/>
        <v>576.40000000000009</v>
      </c>
      <c r="I45" s="103">
        <v>28</v>
      </c>
      <c r="J45" s="104">
        <v>2577</v>
      </c>
      <c r="K45" s="85">
        <f t="shared" si="6"/>
        <v>2834.7000000000003</v>
      </c>
      <c r="L45" s="83" t="s">
        <v>93</v>
      </c>
      <c r="M45" s="86">
        <v>2</v>
      </c>
      <c r="N45" s="84">
        <v>2500</v>
      </c>
      <c r="O45" s="84">
        <f>M45*N45</f>
        <v>5000</v>
      </c>
      <c r="P45" s="87">
        <v>2200</v>
      </c>
      <c r="Q45" s="87">
        <f t="shared" si="3"/>
        <v>4400</v>
      </c>
      <c r="R45" s="87">
        <v>840</v>
      </c>
      <c r="S45" s="41"/>
      <c r="T45" s="41"/>
      <c r="U45" s="36"/>
      <c r="X45" s="1"/>
    </row>
    <row r="46" spans="1:28" ht="15.75" x14ac:dyDescent="0.2">
      <c r="A46" s="78" t="s">
        <v>48</v>
      </c>
      <c r="B46" s="67" t="s">
        <v>113</v>
      </c>
      <c r="C46" s="72" t="s">
        <v>64</v>
      </c>
      <c r="D46" s="82" t="s">
        <v>114</v>
      </c>
      <c r="E46" s="72">
        <v>47</v>
      </c>
      <c r="F46" s="83">
        <v>19</v>
      </c>
      <c r="G46" s="101">
        <v>1073</v>
      </c>
      <c r="H46" s="102">
        <f t="shared" si="7"/>
        <v>1180.3000000000002</v>
      </c>
      <c r="I46" s="103">
        <v>28</v>
      </c>
      <c r="J46" s="104">
        <v>3765</v>
      </c>
      <c r="K46" s="104">
        <f t="shared" si="6"/>
        <v>4141.5</v>
      </c>
      <c r="L46" s="83" t="s">
        <v>90</v>
      </c>
      <c r="M46" s="86">
        <v>2</v>
      </c>
      <c r="N46" s="84">
        <v>3200</v>
      </c>
      <c r="O46" s="84">
        <f t="shared" si="2"/>
        <v>6400</v>
      </c>
      <c r="P46" s="87">
        <v>2800</v>
      </c>
      <c r="Q46" s="87">
        <f t="shared" si="3"/>
        <v>5600</v>
      </c>
      <c r="R46" s="87">
        <v>840</v>
      </c>
      <c r="S46" s="41"/>
      <c r="T46" s="41"/>
      <c r="U46" s="36"/>
      <c r="X46" s="1"/>
    </row>
    <row r="47" spans="1:28" ht="3" customHeight="1" x14ac:dyDescent="0.2">
      <c r="A47" s="75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50"/>
      <c r="T47" s="50"/>
      <c r="U47" s="50"/>
      <c r="X47" s="1"/>
    </row>
    <row r="48" spans="1:28" ht="15.75" x14ac:dyDescent="0.2">
      <c r="A48" s="74" t="s">
        <v>49</v>
      </c>
      <c r="B48" s="67" t="s">
        <v>113</v>
      </c>
      <c r="C48" s="67" t="s">
        <v>69</v>
      </c>
      <c r="D48" s="82" t="s">
        <v>114</v>
      </c>
      <c r="E48" s="67">
        <v>35.5</v>
      </c>
      <c r="F48" s="83">
        <v>19</v>
      </c>
      <c r="G48" s="100">
        <v>1148</v>
      </c>
      <c r="H48" s="100">
        <f>G48*D$2</f>
        <v>1262.8000000000002</v>
      </c>
      <c r="I48" s="83">
        <v>28</v>
      </c>
      <c r="J48" s="85">
        <v>1592</v>
      </c>
      <c r="K48" s="85">
        <f t="shared" si="6"/>
        <v>1751.2</v>
      </c>
      <c r="L48" s="83" t="s">
        <v>92</v>
      </c>
      <c r="M48" s="86">
        <v>1</v>
      </c>
      <c r="N48" s="84">
        <v>4200</v>
      </c>
      <c r="O48" s="84">
        <f t="shared" si="2"/>
        <v>4200</v>
      </c>
      <c r="P48" s="87">
        <v>3600</v>
      </c>
      <c r="Q48" s="87">
        <f t="shared" si="3"/>
        <v>3600</v>
      </c>
      <c r="R48" s="87">
        <v>840</v>
      </c>
      <c r="S48" s="41"/>
      <c r="T48" s="41"/>
      <c r="U48" s="36"/>
      <c r="X48" s="1"/>
    </row>
    <row r="49" spans="1:24" ht="2.25" customHeight="1" x14ac:dyDescent="0.2">
      <c r="A49" s="75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50"/>
      <c r="T49" s="50"/>
      <c r="U49" s="50"/>
      <c r="X49" s="1"/>
    </row>
    <row r="50" spans="1:24" ht="15.75" x14ac:dyDescent="0.2">
      <c r="A50" s="74" t="s">
        <v>50</v>
      </c>
      <c r="B50" s="67" t="s">
        <v>113</v>
      </c>
      <c r="C50" s="67" t="s">
        <v>102</v>
      </c>
      <c r="D50" s="82" t="s">
        <v>114</v>
      </c>
      <c r="E50" s="67">
        <v>21.2</v>
      </c>
      <c r="F50" s="83">
        <v>19</v>
      </c>
      <c r="G50" s="100">
        <v>361</v>
      </c>
      <c r="H50" s="100">
        <f>G50*D$2</f>
        <v>397.1</v>
      </c>
      <c r="I50" s="83">
        <v>28</v>
      </c>
      <c r="J50" s="85">
        <v>2103</v>
      </c>
      <c r="K50" s="85">
        <f t="shared" si="6"/>
        <v>2313.3000000000002</v>
      </c>
      <c r="L50" s="83" t="s">
        <v>92</v>
      </c>
      <c r="M50" s="86">
        <v>1</v>
      </c>
      <c r="N50" s="84">
        <v>4200</v>
      </c>
      <c r="O50" s="84">
        <f t="shared" si="2"/>
        <v>4200</v>
      </c>
      <c r="P50" s="87">
        <v>3600</v>
      </c>
      <c r="Q50" s="87">
        <f t="shared" si="3"/>
        <v>3600</v>
      </c>
      <c r="R50" s="87">
        <v>840</v>
      </c>
      <c r="S50" s="41"/>
      <c r="T50" s="41"/>
      <c r="U50" s="36"/>
      <c r="X50" s="1"/>
    </row>
    <row r="51" spans="1:24" ht="15.75" x14ac:dyDescent="0.2">
      <c r="A51" s="74" t="s">
        <v>50</v>
      </c>
      <c r="B51" s="67" t="s">
        <v>113</v>
      </c>
      <c r="C51" s="67" t="s">
        <v>103</v>
      </c>
      <c r="D51" s="82" t="s">
        <v>114</v>
      </c>
      <c r="E51" s="67">
        <v>20.7</v>
      </c>
      <c r="F51" s="83">
        <v>19</v>
      </c>
      <c r="G51" s="100">
        <v>301</v>
      </c>
      <c r="H51" s="100">
        <f t="shared" ref="H51:H56" si="8">G51*D$2</f>
        <v>331.1</v>
      </c>
      <c r="I51" s="83">
        <v>28</v>
      </c>
      <c r="J51" s="85">
        <v>1963</v>
      </c>
      <c r="K51" s="85">
        <f t="shared" si="6"/>
        <v>2159.3000000000002</v>
      </c>
      <c r="L51" s="83" t="s">
        <v>92</v>
      </c>
      <c r="M51" s="86">
        <v>1</v>
      </c>
      <c r="N51" s="84">
        <v>4200</v>
      </c>
      <c r="O51" s="84">
        <f t="shared" si="2"/>
        <v>4200</v>
      </c>
      <c r="P51" s="87">
        <v>3600</v>
      </c>
      <c r="Q51" s="87">
        <f t="shared" si="3"/>
        <v>3600</v>
      </c>
      <c r="R51" s="87">
        <v>840</v>
      </c>
      <c r="S51" s="41"/>
      <c r="T51" s="41"/>
      <c r="U51" s="36"/>
      <c r="X51" s="1"/>
    </row>
    <row r="52" spans="1:24" ht="15.75" x14ac:dyDescent="0.2">
      <c r="A52" s="74" t="s">
        <v>50</v>
      </c>
      <c r="B52" s="67" t="s">
        <v>113</v>
      </c>
      <c r="C52" s="67" t="s">
        <v>104</v>
      </c>
      <c r="D52" s="82" t="s">
        <v>114</v>
      </c>
      <c r="E52" s="67">
        <v>23.1</v>
      </c>
      <c r="F52" s="83">
        <v>19</v>
      </c>
      <c r="G52" s="100">
        <v>415</v>
      </c>
      <c r="H52" s="100">
        <f t="shared" si="8"/>
        <v>456.50000000000006</v>
      </c>
      <c r="I52" s="83">
        <v>28</v>
      </c>
      <c r="J52" s="85">
        <v>2308</v>
      </c>
      <c r="K52" s="85">
        <f t="shared" si="6"/>
        <v>2538.8000000000002</v>
      </c>
      <c r="L52" s="83" t="s">
        <v>92</v>
      </c>
      <c r="M52" s="86">
        <v>1</v>
      </c>
      <c r="N52" s="84">
        <v>4200</v>
      </c>
      <c r="O52" s="84">
        <f t="shared" si="2"/>
        <v>4200</v>
      </c>
      <c r="P52" s="87">
        <v>3600</v>
      </c>
      <c r="Q52" s="87">
        <f t="shared" si="3"/>
        <v>3600</v>
      </c>
      <c r="R52" s="87">
        <v>840</v>
      </c>
      <c r="S52" s="41"/>
      <c r="T52" s="41"/>
      <c r="U52" s="36"/>
      <c r="X52" s="1"/>
    </row>
    <row r="53" spans="1:24" ht="15.75" x14ac:dyDescent="0.2">
      <c r="A53" s="74" t="s">
        <v>50</v>
      </c>
      <c r="B53" s="67" t="s">
        <v>113</v>
      </c>
      <c r="C53" s="67" t="s">
        <v>101</v>
      </c>
      <c r="D53" s="82" t="s">
        <v>114</v>
      </c>
      <c r="E53" s="67">
        <v>65.099999999999994</v>
      </c>
      <c r="F53" s="83">
        <v>19</v>
      </c>
      <c r="G53" s="100">
        <v>1029</v>
      </c>
      <c r="H53" s="100">
        <f t="shared" si="8"/>
        <v>1131.9000000000001</v>
      </c>
      <c r="I53" s="83">
        <v>28</v>
      </c>
      <c r="J53" s="85">
        <v>4525</v>
      </c>
      <c r="K53" s="85">
        <f t="shared" si="6"/>
        <v>4977.5</v>
      </c>
      <c r="L53" s="83" t="s">
        <v>93</v>
      </c>
      <c r="M53" s="86">
        <v>3</v>
      </c>
      <c r="N53" s="84">
        <v>2500</v>
      </c>
      <c r="O53" s="84">
        <f t="shared" si="2"/>
        <v>7500</v>
      </c>
      <c r="P53" s="87">
        <v>2200</v>
      </c>
      <c r="Q53" s="87">
        <f t="shared" si="3"/>
        <v>6600</v>
      </c>
      <c r="R53" s="87">
        <v>840</v>
      </c>
      <c r="S53" s="40" t="s">
        <v>38</v>
      </c>
      <c r="T53" s="40" t="s">
        <v>38</v>
      </c>
      <c r="U53" s="36"/>
      <c r="X53" s="1"/>
    </row>
    <row r="54" spans="1:24" ht="15.75" x14ac:dyDescent="0.2">
      <c r="A54" s="76" t="s">
        <v>50</v>
      </c>
      <c r="B54" s="69" t="s">
        <v>113</v>
      </c>
      <c r="C54" s="69" t="s">
        <v>99</v>
      </c>
      <c r="D54" s="136" t="s">
        <v>130</v>
      </c>
      <c r="E54" s="69">
        <v>154.4</v>
      </c>
      <c r="F54" s="89">
        <v>19</v>
      </c>
      <c r="G54" s="98">
        <v>3460</v>
      </c>
      <c r="H54" s="98">
        <f t="shared" si="8"/>
        <v>3806.0000000000005</v>
      </c>
      <c r="I54" s="89">
        <v>28</v>
      </c>
      <c r="J54" s="91">
        <v>12996</v>
      </c>
      <c r="K54" s="91">
        <f t="shared" si="6"/>
        <v>14295.6</v>
      </c>
      <c r="L54" s="83" t="s">
        <v>93</v>
      </c>
      <c r="M54" s="86">
        <v>2</v>
      </c>
      <c r="N54" s="84">
        <v>2500</v>
      </c>
      <c r="O54" s="84">
        <f t="shared" si="2"/>
        <v>5000</v>
      </c>
      <c r="P54" s="87">
        <v>2200</v>
      </c>
      <c r="Q54" s="87">
        <f t="shared" si="3"/>
        <v>4400</v>
      </c>
      <c r="R54" s="87">
        <v>840</v>
      </c>
      <c r="S54" s="19" t="s">
        <v>37</v>
      </c>
      <c r="T54" s="19" t="s">
        <v>37</v>
      </c>
      <c r="U54" s="36"/>
      <c r="X54" s="1"/>
    </row>
    <row r="55" spans="1:24" ht="15.75" x14ac:dyDescent="0.2">
      <c r="A55" s="77"/>
      <c r="B55" s="70"/>
      <c r="C55" s="70"/>
      <c r="D55" s="136" t="s">
        <v>130</v>
      </c>
      <c r="E55" s="70"/>
      <c r="F55" s="93"/>
      <c r="G55" s="99"/>
      <c r="H55" s="99"/>
      <c r="I55" s="93"/>
      <c r="J55" s="95"/>
      <c r="K55" s="95"/>
      <c r="L55" s="124" t="s">
        <v>91</v>
      </c>
      <c r="M55" s="86">
        <v>4</v>
      </c>
      <c r="N55" s="125">
        <v>5000</v>
      </c>
      <c r="O55" s="84">
        <f t="shared" si="2"/>
        <v>20000</v>
      </c>
      <c r="P55" s="126">
        <v>4500</v>
      </c>
      <c r="Q55" s="87">
        <f t="shared" si="3"/>
        <v>18000</v>
      </c>
      <c r="R55" s="126">
        <v>840</v>
      </c>
      <c r="S55" s="19"/>
      <c r="T55" s="19"/>
      <c r="U55" s="36"/>
      <c r="X55" s="1"/>
    </row>
    <row r="56" spans="1:24" ht="15.75" x14ac:dyDescent="0.2">
      <c r="A56" s="78" t="s">
        <v>50</v>
      </c>
      <c r="B56" s="67" t="s">
        <v>113</v>
      </c>
      <c r="C56" s="72" t="s">
        <v>110</v>
      </c>
      <c r="D56" s="136" t="s">
        <v>130</v>
      </c>
      <c r="E56" s="72">
        <v>147.5</v>
      </c>
      <c r="F56" s="83">
        <v>19</v>
      </c>
      <c r="G56" s="101">
        <v>3441</v>
      </c>
      <c r="H56" s="101">
        <f t="shared" si="8"/>
        <v>3785.1000000000004</v>
      </c>
      <c r="I56" s="83">
        <v>28</v>
      </c>
      <c r="J56" s="104">
        <v>10291</v>
      </c>
      <c r="K56" s="104">
        <f t="shared" si="6"/>
        <v>11320.1</v>
      </c>
      <c r="L56" s="83" t="s">
        <v>90</v>
      </c>
      <c r="M56" s="86">
        <v>4</v>
      </c>
      <c r="N56" s="84">
        <v>3200</v>
      </c>
      <c r="O56" s="84">
        <f t="shared" si="2"/>
        <v>12800</v>
      </c>
      <c r="P56" s="87">
        <v>2800</v>
      </c>
      <c r="Q56" s="87">
        <f t="shared" si="3"/>
        <v>11200</v>
      </c>
      <c r="R56" s="87">
        <v>840</v>
      </c>
      <c r="S56" s="19"/>
      <c r="T56" s="19"/>
      <c r="U56" s="36"/>
      <c r="X56" s="1"/>
    </row>
    <row r="57" spans="1:24" ht="7.5" customHeight="1" x14ac:dyDescent="0.2">
      <c r="A57" s="79"/>
      <c r="B57" s="73"/>
      <c r="C57" s="73"/>
      <c r="D57" s="73"/>
      <c r="E57" s="73"/>
      <c r="F57" s="73"/>
      <c r="G57" s="105"/>
      <c r="H57" s="105"/>
      <c r="I57" s="73"/>
      <c r="J57" s="106"/>
      <c r="K57" s="106"/>
      <c r="L57" s="107"/>
      <c r="M57" s="107"/>
      <c r="N57" s="108"/>
      <c r="O57" s="108"/>
      <c r="P57" s="108"/>
      <c r="Q57" s="108"/>
      <c r="R57" s="109"/>
      <c r="S57" s="19"/>
      <c r="T57" s="19"/>
      <c r="U57" s="26"/>
      <c r="X57" s="1"/>
    </row>
    <row r="58" spans="1:24" ht="15.75" x14ac:dyDescent="0.2">
      <c r="A58" s="76" t="s">
        <v>51</v>
      </c>
      <c r="B58" s="69" t="s">
        <v>113</v>
      </c>
      <c r="C58" s="69" t="s">
        <v>70</v>
      </c>
      <c r="D58" s="82" t="s">
        <v>114</v>
      </c>
      <c r="E58" s="69">
        <v>151.30000000000001</v>
      </c>
      <c r="F58" s="89">
        <v>19</v>
      </c>
      <c r="G58" s="98">
        <v>5638</v>
      </c>
      <c r="H58" s="98">
        <f>G58*D$2</f>
        <v>6201.8</v>
      </c>
      <c r="I58" s="89">
        <v>28</v>
      </c>
      <c r="J58" s="91">
        <v>14563</v>
      </c>
      <c r="K58" s="91">
        <f t="shared" si="6"/>
        <v>16019.300000000001</v>
      </c>
      <c r="L58" s="83" t="s">
        <v>96</v>
      </c>
      <c r="M58" s="86">
        <v>1</v>
      </c>
      <c r="N58" s="84">
        <v>10000</v>
      </c>
      <c r="O58" s="84">
        <f t="shared" si="2"/>
        <v>10000</v>
      </c>
      <c r="P58" s="87">
        <v>9000</v>
      </c>
      <c r="Q58" s="87">
        <f t="shared" si="3"/>
        <v>9000</v>
      </c>
      <c r="R58" s="87">
        <v>1500</v>
      </c>
      <c r="S58" s="40" t="s">
        <v>38</v>
      </c>
      <c r="T58" s="19" t="s">
        <v>37</v>
      </c>
      <c r="U58" s="36"/>
      <c r="X58" s="1"/>
    </row>
    <row r="59" spans="1:24" ht="15.75" x14ac:dyDescent="0.2">
      <c r="A59" s="77"/>
      <c r="B59" s="70"/>
      <c r="C59" s="70"/>
      <c r="D59" s="82" t="s">
        <v>114</v>
      </c>
      <c r="E59" s="70"/>
      <c r="F59" s="93"/>
      <c r="G59" s="99"/>
      <c r="H59" s="99"/>
      <c r="I59" s="93"/>
      <c r="J59" s="95"/>
      <c r="K59" s="95"/>
      <c r="L59" s="83" t="s">
        <v>92</v>
      </c>
      <c r="M59" s="86">
        <v>4</v>
      </c>
      <c r="N59" s="84">
        <v>4200</v>
      </c>
      <c r="O59" s="84">
        <f t="shared" si="2"/>
        <v>16800</v>
      </c>
      <c r="P59" s="87">
        <v>3600</v>
      </c>
      <c r="Q59" s="87">
        <f t="shared" si="3"/>
        <v>14400</v>
      </c>
      <c r="R59" s="87">
        <v>840</v>
      </c>
      <c r="S59" s="40"/>
      <c r="T59" s="19"/>
      <c r="U59" s="36"/>
      <c r="X59" s="1"/>
    </row>
    <row r="60" spans="1:24" ht="15.75" x14ac:dyDescent="0.2">
      <c r="A60" s="74" t="s">
        <v>51</v>
      </c>
      <c r="B60" s="67" t="s">
        <v>113</v>
      </c>
      <c r="C60" s="67" t="s">
        <v>120</v>
      </c>
      <c r="D60" s="82" t="s">
        <v>114</v>
      </c>
      <c r="E60" s="67">
        <v>18.5</v>
      </c>
      <c r="F60" s="83">
        <v>19</v>
      </c>
      <c r="G60" s="100">
        <v>370</v>
      </c>
      <c r="H60" s="100">
        <f t="shared" ref="H60:H64" si="9">G60*D$2</f>
        <v>407.00000000000006</v>
      </c>
      <c r="I60" s="83">
        <v>28</v>
      </c>
      <c r="J60" s="85">
        <v>1953</v>
      </c>
      <c r="K60" s="85">
        <f t="shared" si="6"/>
        <v>2148.3000000000002</v>
      </c>
      <c r="L60" s="83" t="s">
        <v>93</v>
      </c>
      <c r="M60" s="86">
        <v>1</v>
      </c>
      <c r="N60" s="84">
        <v>2500</v>
      </c>
      <c r="O60" s="84">
        <f t="shared" si="2"/>
        <v>2500</v>
      </c>
      <c r="P60" s="87">
        <v>2200</v>
      </c>
      <c r="Q60" s="87">
        <f t="shared" si="3"/>
        <v>2200</v>
      </c>
      <c r="R60" s="87">
        <v>840</v>
      </c>
      <c r="S60" s="40"/>
      <c r="T60" s="19"/>
      <c r="U60" s="36"/>
      <c r="X60" s="1"/>
    </row>
    <row r="61" spans="1:24" ht="15.75" x14ac:dyDescent="0.2">
      <c r="A61" s="74" t="s">
        <v>51</v>
      </c>
      <c r="B61" s="67" t="s">
        <v>113</v>
      </c>
      <c r="C61" s="67" t="s">
        <v>119</v>
      </c>
      <c r="D61" s="82" t="s">
        <v>114</v>
      </c>
      <c r="E61" s="67">
        <v>20</v>
      </c>
      <c r="F61" s="83">
        <v>19</v>
      </c>
      <c r="G61" s="100">
        <v>554</v>
      </c>
      <c r="H61" s="100">
        <f t="shared" si="9"/>
        <v>609.40000000000009</v>
      </c>
      <c r="I61" s="83">
        <v>28</v>
      </c>
      <c r="J61" s="85">
        <v>2533</v>
      </c>
      <c r="K61" s="85">
        <f t="shared" si="6"/>
        <v>2786.3</v>
      </c>
      <c r="L61" s="83" t="s">
        <v>93</v>
      </c>
      <c r="M61" s="86">
        <v>2</v>
      </c>
      <c r="N61" s="84">
        <v>2500</v>
      </c>
      <c r="O61" s="84">
        <f t="shared" si="2"/>
        <v>5000</v>
      </c>
      <c r="P61" s="87">
        <v>2200</v>
      </c>
      <c r="Q61" s="87">
        <f t="shared" si="3"/>
        <v>4400</v>
      </c>
      <c r="R61" s="87">
        <v>840</v>
      </c>
      <c r="S61" s="40"/>
      <c r="T61" s="19"/>
      <c r="U61" s="36"/>
      <c r="X61" s="1"/>
    </row>
    <row r="62" spans="1:24" ht="15.75" x14ac:dyDescent="0.2">
      <c r="A62" s="74" t="s">
        <v>51</v>
      </c>
      <c r="B62" s="67" t="s">
        <v>113</v>
      </c>
      <c r="C62" s="67" t="s">
        <v>71</v>
      </c>
      <c r="D62" s="82" t="s">
        <v>114</v>
      </c>
      <c r="E62" s="67">
        <v>47.2</v>
      </c>
      <c r="F62" s="83">
        <v>19</v>
      </c>
      <c r="G62" s="100">
        <v>1103</v>
      </c>
      <c r="H62" s="100">
        <f t="shared" si="9"/>
        <v>1213.3000000000002</v>
      </c>
      <c r="I62" s="83">
        <v>28</v>
      </c>
      <c r="J62" s="85">
        <v>3874</v>
      </c>
      <c r="K62" s="85">
        <f t="shared" si="6"/>
        <v>4261.4000000000005</v>
      </c>
      <c r="L62" s="83" t="s">
        <v>90</v>
      </c>
      <c r="M62" s="86">
        <v>2</v>
      </c>
      <c r="N62" s="84">
        <v>3200</v>
      </c>
      <c r="O62" s="84">
        <f t="shared" si="2"/>
        <v>6400</v>
      </c>
      <c r="P62" s="87">
        <v>2800</v>
      </c>
      <c r="Q62" s="87">
        <f t="shared" si="3"/>
        <v>5600</v>
      </c>
      <c r="R62" s="87">
        <v>840</v>
      </c>
      <c r="S62" s="40"/>
      <c r="T62" s="19"/>
      <c r="U62" s="36"/>
      <c r="X62" s="1"/>
    </row>
    <row r="63" spans="1:24" ht="3" customHeight="1" x14ac:dyDescent="0.2">
      <c r="A63" s="75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50"/>
      <c r="T63" s="50"/>
      <c r="U63" s="50"/>
      <c r="X63" s="1"/>
    </row>
    <row r="64" spans="1:24" ht="15.75" x14ac:dyDescent="0.2">
      <c r="A64" s="74" t="s">
        <v>52</v>
      </c>
      <c r="B64" s="67" t="s">
        <v>113</v>
      </c>
      <c r="C64" s="67" t="s">
        <v>72</v>
      </c>
      <c r="D64" s="82" t="s">
        <v>114</v>
      </c>
      <c r="E64" s="67">
        <v>34.5</v>
      </c>
      <c r="F64" s="83">
        <v>19</v>
      </c>
      <c r="G64" s="100">
        <v>1181</v>
      </c>
      <c r="H64" s="100">
        <f t="shared" si="9"/>
        <v>1299.1000000000001</v>
      </c>
      <c r="I64" s="83">
        <v>28</v>
      </c>
      <c r="J64" s="85">
        <v>1624</v>
      </c>
      <c r="K64" s="85">
        <f t="shared" si="6"/>
        <v>1786.4</v>
      </c>
      <c r="L64" s="83" t="s">
        <v>90</v>
      </c>
      <c r="M64" s="86">
        <v>1</v>
      </c>
      <c r="N64" s="84">
        <v>3200</v>
      </c>
      <c r="O64" s="84">
        <f t="shared" si="2"/>
        <v>3200</v>
      </c>
      <c r="P64" s="87">
        <v>2800</v>
      </c>
      <c r="Q64" s="87">
        <f t="shared" si="3"/>
        <v>2800</v>
      </c>
      <c r="R64" s="87">
        <v>840</v>
      </c>
      <c r="S64" s="40"/>
      <c r="T64" s="19"/>
      <c r="U64" s="36"/>
      <c r="X64" s="1"/>
    </row>
    <row r="65" spans="1:24" ht="2.25" customHeight="1" x14ac:dyDescent="0.2">
      <c r="A65" s="75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50"/>
      <c r="T65" s="50"/>
      <c r="U65" s="50"/>
      <c r="X65" s="1"/>
    </row>
    <row r="66" spans="1:24" ht="15.75" x14ac:dyDescent="0.2">
      <c r="A66" s="74" t="s">
        <v>53</v>
      </c>
      <c r="B66" s="67" t="s">
        <v>113</v>
      </c>
      <c r="C66" s="67" t="s">
        <v>112</v>
      </c>
      <c r="D66" s="82" t="s">
        <v>114</v>
      </c>
      <c r="E66" s="67">
        <v>21.2</v>
      </c>
      <c r="F66" s="83">
        <v>19</v>
      </c>
      <c r="G66" s="100">
        <v>365</v>
      </c>
      <c r="H66" s="100">
        <f>G66*D$2</f>
        <v>401.50000000000006</v>
      </c>
      <c r="I66" s="83">
        <v>28</v>
      </c>
      <c r="J66" s="85">
        <v>2115</v>
      </c>
      <c r="K66" s="85">
        <f t="shared" si="6"/>
        <v>2326.5</v>
      </c>
      <c r="L66" s="83" t="s">
        <v>92</v>
      </c>
      <c r="M66" s="86">
        <v>1</v>
      </c>
      <c r="N66" s="84">
        <v>4200</v>
      </c>
      <c r="O66" s="84">
        <f t="shared" si="2"/>
        <v>4200</v>
      </c>
      <c r="P66" s="87">
        <v>3600</v>
      </c>
      <c r="Q66" s="87">
        <f t="shared" si="3"/>
        <v>3600</v>
      </c>
      <c r="R66" s="87">
        <v>840</v>
      </c>
      <c r="S66" s="40" t="s">
        <v>38</v>
      </c>
      <c r="T66" s="19" t="s">
        <v>37</v>
      </c>
      <c r="U66" s="36"/>
      <c r="X66" s="1"/>
    </row>
    <row r="67" spans="1:24" ht="15.75" x14ac:dyDescent="0.2">
      <c r="A67" s="74" t="s">
        <v>53</v>
      </c>
      <c r="B67" s="67" t="s">
        <v>113</v>
      </c>
      <c r="C67" s="67" t="s">
        <v>103</v>
      </c>
      <c r="D67" s="82" t="s">
        <v>114</v>
      </c>
      <c r="E67" s="67">
        <v>20.8</v>
      </c>
      <c r="F67" s="83">
        <v>19</v>
      </c>
      <c r="G67" s="101">
        <v>312</v>
      </c>
      <c r="H67" s="100">
        <f>G67*D$2</f>
        <v>343.20000000000005</v>
      </c>
      <c r="I67" s="83">
        <v>28</v>
      </c>
      <c r="J67" s="85">
        <v>1978</v>
      </c>
      <c r="K67" s="85">
        <f t="shared" si="6"/>
        <v>2175.8000000000002</v>
      </c>
      <c r="L67" s="83" t="s">
        <v>90</v>
      </c>
      <c r="M67" s="86">
        <v>1</v>
      </c>
      <c r="N67" s="84">
        <v>3200</v>
      </c>
      <c r="O67" s="84">
        <f t="shared" si="2"/>
        <v>3200</v>
      </c>
      <c r="P67" s="87">
        <v>2800</v>
      </c>
      <c r="Q67" s="87">
        <f t="shared" si="3"/>
        <v>2800</v>
      </c>
      <c r="R67" s="87">
        <v>840</v>
      </c>
      <c r="S67" s="40" t="s">
        <v>38</v>
      </c>
      <c r="T67" s="41" t="s">
        <v>39</v>
      </c>
      <c r="U67" s="36"/>
      <c r="X67" s="1"/>
    </row>
    <row r="68" spans="1:24" ht="15.75" x14ac:dyDescent="0.2">
      <c r="A68" s="74" t="s">
        <v>53</v>
      </c>
      <c r="B68" s="67" t="s">
        <v>113</v>
      </c>
      <c r="C68" s="67" t="s">
        <v>104</v>
      </c>
      <c r="D68" s="82" t="s">
        <v>114</v>
      </c>
      <c r="E68" s="67">
        <v>22.6</v>
      </c>
      <c r="F68" s="83">
        <v>19</v>
      </c>
      <c r="G68" s="100">
        <v>427</v>
      </c>
      <c r="H68" s="100">
        <f t="shared" ref="H68:H71" si="10">G68*D$2</f>
        <v>469.70000000000005</v>
      </c>
      <c r="I68" s="83">
        <v>28</v>
      </c>
      <c r="J68" s="85">
        <v>2188</v>
      </c>
      <c r="K68" s="85">
        <f t="shared" si="6"/>
        <v>2406.8000000000002</v>
      </c>
      <c r="L68" s="83" t="s">
        <v>92</v>
      </c>
      <c r="M68" s="86">
        <v>1</v>
      </c>
      <c r="N68" s="84">
        <v>4200</v>
      </c>
      <c r="O68" s="84">
        <f t="shared" si="2"/>
        <v>4200</v>
      </c>
      <c r="P68" s="87">
        <v>3600</v>
      </c>
      <c r="Q68" s="87">
        <f t="shared" si="3"/>
        <v>3600</v>
      </c>
      <c r="R68" s="87">
        <v>840</v>
      </c>
      <c r="S68" s="40" t="s">
        <v>38</v>
      </c>
      <c r="T68" s="19" t="s">
        <v>37</v>
      </c>
      <c r="U68" s="36"/>
      <c r="X68" s="1"/>
    </row>
    <row r="69" spans="1:24" ht="15.75" x14ac:dyDescent="0.2">
      <c r="A69" s="74" t="s">
        <v>53</v>
      </c>
      <c r="B69" s="67" t="s">
        <v>113</v>
      </c>
      <c r="C69" s="67" t="s">
        <v>101</v>
      </c>
      <c r="D69" s="82" t="s">
        <v>114</v>
      </c>
      <c r="E69" s="67">
        <v>65.7</v>
      </c>
      <c r="F69" s="83">
        <v>19</v>
      </c>
      <c r="G69" s="100">
        <v>1062</v>
      </c>
      <c r="H69" s="100">
        <f t="shared" si="10"/>
        <v>1168.2</v>
      </c>
      <c r="I69" s="83">
        <v>28</v>
      </c>
      <c r="J69" s="85">
        <v>4645</v>
      </c>
      <c r="K69" s="85">
        <f t="shared" si="6"/>
        <v>5109.5</v>
      </c>
      <c r="L69" s="83" t="s">
        <v>93</v>
      </c>
      <c r="M69" s="86">
        <v>3</v>
      </c>
      <c r="N69" s="84">
        <v>2500</v>
      </c>
      <c r="O69" s="84">
        <f t="shared" si="2"/>
        <v>7500</v>
      </c>
      <c r="P69" s="87">
        <v>2200</v>
      </c>
      <c r="Q69" s="87">
        <f t="shared" si="3"/>
        <v>6600</v>
      </c>
      <c r="R69" s="87">
        <v>840</v>
      </c>
      <c r="S69" s="40" t="s">
        <v>38</v>
      </c>
      <c r="T69" s="19" t="s">
        <v>37</v>
      </c>
      <c r="U69" s="36"/>
      <c r="X69" s="1"/>
    </row>
    <row r="70" spans="1:24" ht="15.75" x14ac:dyDescent="0.2">
      <c r="A70" s="74" t="s">
        <v>53</v>
      </c>
      <c r="B70" s="67" t="s">
        <v>113</v>
      </c>
      <c r="C70" s="67" t="s">
        <v>109</v>
      </c>
      <c r="D70" s="136" t="s">
        <v>130</v>
      </c>
      <c r="E70" s="67">
        <v>155.30000000000001</v>
      </c>
      <c r="F70" s="83">
        <v>19</v>
      </c>
      <c r="G70" s="100">
        <v>3478</v>
      </c>
      <c r="H70" s="100">
        <f t="shared" si="10"/>
        <v>3825.8</v>
      </c>
      <c r="I70" s="83">
        <v>28</v>
      </c>
      <c r="J70" s="85">
        <v>12463</v>
      </c>
      <c r="K70" s="85">
        <f t="shared" si="6"/>
        <v>13709.300000000001</v>
      </c>
      <c r="L70" s="83" t="s">
        <v>92</v>
      </c>
      <c r="M70" s="86">
        <v>6</v>
      </c>
      <c r="N70" s="84">
        <v>4200</v>
      </c>
      <c r="O70" s="84">
        <f t="shared" si="2"/>
        <v>25200</v>
      </c>
      <c r="P70" s="87">
        <v>3600</v>
      </c>
      <c r="Q70" s="87">
        <f t="shared" si="3"/>
        <v>21600</v>
      </c>
      <c r="R70" s="87">
        <v>840</v>
      </c>
      <c r="S70" s="41" t="s">
        <v>39</v>
      </c>
      <c r="T70" s="19" t="s">
        <v>37</v>
      </c>
      <c r="U70" s="36"/>
      <c r="X70" s="1"/>
    </row>
    <row r="71" spans="1:24" ht="15.75" x14ac:dyDescent="0.2">
      <c r="A71" s="76" t="s">
        <v>53</v>
      </c>
      <c r="B71" s="69" t="s">
        <v>113</v>
      </c>
      <c r="C71" s="69" t="s">
        <v>111</v>
      </c>
      <c r="D71" s="82" t="s">
        <v>115</v>
      </c>
      <c r="E71" s="69">
        <v>147.4</v>
      </c>
      <c r="F71" s="89">
        <v>19</v>
      </c>
      <c r="G71" s="98">
        <v>3645</v>
      </c>
      <c r="H71" s="98">
        <f t="shared" si="10"/>
        <v>4009.5000000000005</v>
      </c>
      <c r="I71" s="89">
        <v>28</v>
      </c>
      <c r="J71" s="91">
        <v>10248</v>
      </c>
      <c r="K71" s="91">
        <f t="shared" si="6"/>
        <v>11272.800000000001</v>
      </c>
      <c r="L71" s="83" t="s">
        <v>93</v>
      </c>
      <c r="M71" s="86">
        <v>2</v>
      </c>
      <c r="N71" s="84">
        <v>2500</v>
      </c>
      <c r="O71" s="84">
        <f t="shared" si="2"/>
        <v>5000</v>
      </c>
      <c r="P71" s="87">
        <v>2200</v>
      </c>
      <c r="Q71" s="87">
        <f t="shared" si="3"/>
        <v>4400</v>
      </c>
      <c r="R71" s="87">
        <v>840</v>
      </c>
      <c r="S71" s="41"/>
      <c r="T71" s="19"/>
      <c r="U71" s="36"/>
      <c r="X71" s="1"/>
    </row>
    <row r="72" spans="1:24" ht="15.75" x14ac:dyDescent="0.2">
      <c r="A72" s="77"/>
      <c r="B72" s="70"/>
      <c r="C72" s="70"/>
      <c r="D72" s="82" t="s">
        <v>114</v>
      </c>
      <c r="E72" s="70"/>
      <c r="F72" s="93"/>
      <c r="G72" s="99"/>
      <c r="H72" s="99"/>
      <c r="I72" s="93"/>
      <c r="J72" s="95"/>
      <c r="K72" s="95"/>
      <c r="L72" s="83" t="s">
        <v>92</v>
      </c>
      <c r="M72" s="86">
        <v>4</v>
      </c>
      <c r="N72" s="84">
        <v>4200</v>
      </c>
      <c r="O72" s="84">
        <f t="shared" si="2"/>
        <v>16800</v>
      </c>
      <c r="P72" s="87">
        <v>3600</v>
      </c>
      <c r="Q72" s="87">
        <f t="shared" si="3"/>
        <v>14400</v>
      </c>
      <c r="R72" s="87">
        <v>840</v>
      </c>
      <c r="S72" s="41"/>
      <c r="T72" s="19"/>
      <c r="U72" s="36"/>
      <c r="X72" s="1"/>
    </row>
    <row r="73" spans="1:24" ht="7.5" customHeight="1" x14ac:dyDescent="0.2">
      <c r="A73" s="79"/>
      <c r="B73" s="73"/>
      <c r="C73" s="73"/>
      <c r="D73" s="73"/>
      <c r="E73" s="73"/>
      <c r="F73" s="73"/>
      <c r="G73" s="105"/>
      <c r="H73" s="105"/>
      <c r="I73" s="73"/>
      <c r="J73" s="106"/>
      <c r="K73" s="106"/>
      <c r="L73" s="107"/>
      <c r="M73" s="107"/>
      <c r="N73" s="108"/>
      <c r="O73" s="108"/>
      <c r="P73" s="108"/>
      <c r="Q73" s="108"/>
      <c r="R73" s="109"/>
      <c r="S73" s="19"/>
      <c r="T73" s="19"/>
      <c r="U73" s="26"/>
      <c r="X73" s="1"/>
    </row>
    <row r="74" spans="1:24" ht="15.75" x14ac:dyDescent="0.2">
      <c r="A74" s="119" t="s">
        <v>54</v>
      </c>
      <c r="B74" s="67" t="s">
        <v>113</v>
      </c>
      <c r="C74" s="120" t="s">
        <v>123</v>
      </c>
      <c r="D74" s="82" t="s">
        <v>114</v>
      </c>
      <c r="E74" s="120">
        <v>90.8</v>
      </c>
      <c r="F74" s="121">
        <v>19</v>
      </c>
      <c r="G74" s="122">
        <v>3746</v>
      </c>
      <c r="H74" s="101">
        <f t="shared" ref="H74:H76" si="11">G74*D$2</f>
        <v>4120.6000000000004</v>
      </c>
      <c r="I74" s="83">
        <v>28</v>
      </c>
      <c r="J74" s="123">
        <v>11314</v>
      </c>
      <c r="K74" s="85">
        <f t="shared" si="6"/>
        <v>12445.400000000001</v>
      </c>
      <c r="L74" s="83" t="s">
        <v>85</v>
      </c>
      <c r="M74" s="86">
        <v>1</v>
      </c>
      <c r="N74" s="84">
        <v>11400</v>
      </c>
      <c r="O74" s="84">
        <f t="shared" si="2"/>
        <v>11400</v>
      </c>
      <c r="P74" s="87">
        <v>10600</v>
      </c>
      <c r="Q74" s="87">
        <f t="shared" si="3"/>
        <v>10600</v>
      </c>
      <c r="R74" s="87">
        <v>1920</v>
      </c>
      <c r="S74" s="41"/>
      <c r="T74" s="40"/>
      <c r="U74" s="36"/>
      <c r="X74" s="1"/>
    </row>
    <row r="75" spans="1:24" ht="15.75" x14ac:dyDescent="0.2">
      <c r="A75" s="119" t="s">
        <v>54</v>
      </c>
      <c r="B75" s="67" t="s">
        <v>113</v>
      </c>
      <c r="C75" s="67" t="s">
        <v>121</v>
      </c>
      <c r="D75" s="82" t="s">
        <v>114</v>
      </c>
      <c r="E75" s="120">
        <v>48.3</v>
      </c>
      <c r="F75" s="121">
        <v>19</v>
      </c>
      <c r="G75" s="122">
        <v>969</v>
      </c>
      <c r="H75" s="101">
        <f t="shared" si="11"/>
        <v>1065.9000000000001</v>
      </c>
      <c r="I75" s="83">
        <v>28</v>
      </c>
      <c r="J75" s="123">
        <v>2520</v>
      </c>
      <c r="K75" s="85">
        <f t="shared" si="6"/>
        <v>2772</v>
      </c>
      <c r="L75" s="83" t="s">
        <v>91</v>
      </c>
      <c r="M75" s="86">
        <v>2</v>
      </c>
      <c r="N75" s="84">
        <v>5000</v>
      </c>
      <c r="O75" s="84">
        <f t="shared" si="2"/>
        <v>10000</v>
      </c>
      <c r="P75" s="87">
        <v>4500</v>
      </c>
      <c r="Q75" s="87">
        <f t="shared" si="3"/>
        <v>9000</v>
      </c>
      <c r="R75" s="87">
        <v>840</v>
      </c>
      <c r="S75" s="41"/>
      <c r="T75" s="40"/>
      <c r="U75" s="36"/>
      <c r="X75" s="1"/>
    </row>
    <row r="76" spans="1:24" ht="15.75" x14ac:dyDescent="0.2">
      <c r="A76" s="119" t="s">
        <v>54</v>
      </c>
      <c r="B76" s="67" t="s">
        <v>113</v>
      </c>
      <c r="C76" s="120" t="s">
        <v>122</v>
      </c>
      <c r="D76" s="82" t="s">
        <v>114</v>
      </c>
      <c r="E76" s="120">
        <v>30.7</v>
      </c>
      <c r="F76" s="121">
        <v>19</v>
      </c>
      <c r="G76" s="122">
        <v>990</v>
      </c>
      <c r="H76" s="101">
        <f t="shared" si="11"/>
        <v>1089</v>
      </c>
      <c r="I76" s="83">
        <v>28</v>
      </c>
      <c r="J76" s="123">
        <v>4290</v>
      </c>
      <c r="K76" s="85">
        <f t="shared" si="6"/>
        <v>4719</v>
      </c>
      <c r="L76" s="83" t="s">
        <v>91</v>
      </c>
      <c r="M76" s="86">
        <v>2</v>
      </c>
      <c r="N76" s="84">
        <v>5000</v>
      </c>
      <c r="O76" s="84">
        <f t="shared" si="2"/>
        <v>10000</v>
      </c>
      <c r="P76" s="87">
        <v>4500</v>
      </c>
      <c r="Q76" s="87">
        <f t="shared" si="3"/>
        <v>9000</v>
      </c>
      <c r="R76" s="87">
        <v>840</v>
      </c>
      <c r="S76" s="41"/>
      <c r="T76" s="40"/>
      <c r="U76" s="36"/>
      <c r="X76" s="1"/>
    </row>
    <row r="77" spans="1:24" ht="15.75" x14ac:dyDescent="0.2">
      <c r="A77" s="74" t="s">
        <v>54</v>
      </c>
      <c r="B77" s="67" t="s">
        <v>113</v>
      </c>
      <c r="C77" s="67" t="s">
        <v>105</v>
      </c>
      <c r="D77" s="82" t="s">
        <v>114</v>
      </c>
      <c r="E77" s="67">
        <v>20.9</v>
      </c>
      <c r="F77" s="83">
        <v>19</v>
      </c>
      <c r="G77" s="100">
        <v>532</v>
      </c>
      <c r="H77" s="100">
        <f t="shared" ref="H77:H79" si="12">G77*D$2</f>
        <v>585.20000000000005</v>
      </c>
      <c r="I77" s="83">
        <v>28</v>
      </c>
      <c r="J77" s="85">
        <v>2502</v>
      </c>
      <c r="K77" s="85">
        <f t="shared" si="6"/>
        <v>2752.2000000000003</v>
      </c>
      <c r="L77" s="83" t="s">
        <v>92</v>
      </c>
      <c r="M77" s="86">
        <v>1</v>
      </c>
      <c r="N77" s="84">
        <v>4200</v>
      </c>
      <c r="O77" s="84">
        <f t="shared" si="2"/>
        <v>4200</v>
      </c>
      <c r="P77" s="87">
        <v>3600</v>
      </c>
      <c r="Q77" s="87">
        <f t="shared" si="3"/>
        <v>3600</v>
      </c>
      <c r="R77" s="87">
        <v>840</v>
      </c>
      <c r="S77" s="41"/>
      <c r="T77" s="40"/>
      <c r="U77" s="36"/>
      <c r="X77" s="1"/>
    </row>
    <row r="78" spans="1:24" ht="15.75" x14ac:dyDescent="0.2">
      <c r="A78" s="74" t="s">
        <v>54</v>
      </c>
      <c r="B78" s="67" t="s">
        <v>113</v>
      </c>
      <c r="C78" s="67" t="s">
        <v>106</v>
      </c>
      <c r="D78" s="82" t="s">
        <v>114</v>
      </c>
      <c r="E78" s="67">
        <v>16.899999999999999</v>
      </c>
      <c r="F78" s="83">
        <v>19</v>
      </c>
      <c r="G78" s="100">
        <v>388</v>
      </c>
      <c r="H78" s="100">
        <f t="shared" si="12"/>
        <v>426.8</v>
      </c>
      <c r="I78" s="83">
        <v>28</v>
      </c>
      <c r="J78" s="85">
        <v>1252</v>
      </c>
      <c r="K78" s="85">
        <f t="shared" si="6"/>
        <v>1377.2</v>
      </c>
      <c r="L78" s="83" t="s">
        <v>93</v>
      </c>
      <c r="M78" s="86">
        <v>1</v>
      </c>
      <c r="N78" s="84">
        <v>2500</v>
      </c>
      <c r="O78" s="84">
        <f t="shared" si="2"/>
        <v>2500</v>
      </c>
      <c r="P78" s="87">
        <v>2200</v>
      </c>
      <c r="Q78" s="87">
        <f t="shared" si="3"/>
        <v>2200</v>
      </c>
      <c r="R78" s="87">
        <v>840</v>
      </c>
      <c r="S78" s="41"/>
      <c r="T78" s="40"/>
      <c r="U78" s="36"/>
      <c r="X78" s="1"/>
    </row>
    <row r="79" spans="1:24" ht="15.75" x14ac:dyDescent="0.2">
      <c r="A79" s="74" t="s">
        <v>54</v>
      </c>
      <c r="B79" s="67" t="s">
        <v>113</v>
      </c>
      <c r="C79" s="67" t="s">
        <v>73</v>
      </c>
      <c r="D79" s="82" t="s">
        <v>114</v>
      </c>
      <c r="E79" s="67">
        <v>16.5</v>
      </c>
      <c r="F79" s="83">
        <v>19</v>
      </c>
      <c r="G79" s="100">
        <v>487</v>
      </c>
      <c r="H79" s="100">
        <f t="shared" si="12"/>
        <v>535.70000000000005</v>
      </c>
      <c r="I79" s="83">
        <v>28</v>
      </c>
      <c r="J79" s="85">
        <v>1312</v>
      </c>
      <c r="K79" s="85">
        <f t="shared" si="6"/>
        <v>1443.2</v>
      </c>
      <c r="L79" s="83" t="s">
        <v>93</v>
      </c>
      <c r="M79" s="86">
        <v>1</v>
      </c>
      <c r="N79" s="84">
        <v>2500</v>
      </c>
      <c r="O79" s="84">
        <f t="shared" si="2"/>
        <v>2500</v>
      </c>
      <c r="P79" s="87">
        <v>2200</v>
      </c>
      <c r="Q79" s="87">
        <f t="shared" si="3"/>
        <v>2200</v>
      </c>
      <c r="R79" s="87">
        <v>840</v>
      </c>
      <c r="S79" s="41"/>
      <c r="T79" s="40"/>
      <c r="U79" s="36"/>
      <c r="X79" s="1"/>
    </row>
    <row r="80" spans="1:24" ht="2.25" customHeight="1" x14ac:dyDescent="0.2">
      <c r="A80" s="75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50"/>
      <c r="T80" s="50"/>
      <c r="U80" s="50"/>
      <c r="X80" s="1"/>
    </row>
    <row r="81" spans="1:24" ht="15.75" x14ac:dyDescent="0.2">
      <c r="A81" s="74" t="s">
        <v>55</v>
      </c>
      <c r="B81" s="67" t="s">
        <v>113</v>
      </c>
      <c r="C81" s="67" t="s">
        <v>74</v>
      </c>
      <c r="D81" s="82" t="s">
        <v>114</v>
      </c>
      <c r="E81" s="67">
        <v>37.9</v>
      </c>
      <c r="F81" s="83">
        <v>19</v>
      </c>
      <c r="G81" s="100">
        <v>397</v>
      </c>
      <c r="H81" s="100">
        <f>G81*D$2</f>
        <v>436.70000000000005</v>
      </c>
      <c r="I81" s="83">
        <v>28</v>
      </c>
      <c r="J81" s="85">
        <v>4407</v>
      </c>
      <c r="K81" s="85">
        <f t="shared" si="6"/>
        <v>4847.7000000000007</v>
      </c>
      <c r="L81" s="83" t="s">
        <v>98</v>
      </c>
      <c r="M81" s="86">
        <v>1</v>
      </c>
      <c r="N81" s="84">
        <v>8000</v>
      </c>
      <c r="O81" s="84">
        <f t="shared" si="2"/>
        <v>8000</v>
      </c>
      <c r="P81" s="87">
        <v>7300</v>
      </c>
      <c r="Q81" s="87">
        <f t="shared" si="3"/>
        <v>7300</v>
      </c>
      <c r="R81" s="87">
        <v>1260</v>
      </c>
      <c r="S81" s="41"/>
      <c r="T81" s="40"/>
      <c r="U81" s="36"/>
      <c r="X81" s="1"/>
    </row>
    <row r="82" spans="1:24" ht="2.25" customHeight="1" x14ac:dyDescent="0.2">
      <c r="A82" s="75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50"/>
      <c r="T82" s="50"/>
      <c r="U82" s="50"/>
      <c r="X82" s="1"/>
    </row>
    <row r="83" spans="1:24" ht="15.75" x14ac:dyDescent="0.2">
      <c r="A83" s="74" t="s">
        <v>56</v>
      </c>
      <c r="B83" s="67" t="s">
        <v>113</v>
      </c>
      <c r="C83" s="67" t="s">
        <v>101</v>
      </c>
      <c r="D83" s="82" t="s">
        <v>114</v>
      </c>
      <c r="E83" s="67">
        <v>46.9</v>
      </c>
      <c r="F83" s="83">
        <v>19</v>
      </c>
      <c r="G83" s="100">
        <v>731</v>
      </c>
      <c r="H83" s="100">
        <f t="shared" ref="H83:H86" si="13">G83*D$2</f>
        <v>804.1</v>
      </c>
      <c r="I83" s="83">
        <v>28</v>
      </c>
      <c r="J83" s="85">
        <v>3184</v>
      </c>
      <c r="K83" s="85">
        <f t="shared" si="6"/>
        <v>3502.4</v>
      </c>
      <c r="L83" s="83" t="s">
        <v>90</v>
      </c>
      <c r="M83" s="86">
        <v>2</v>
      </c>
      <c r="N83" s="84">
        <v>3200</v>
      </c>
      <c r="O83" s="84">
        <f t="shared" ref="O83:O113" si="14">M83*N83</f>
        <v>6400</v>
      </c>
      <c r="P83" s="87">
        <v>2800</v>
      </c>
      <c r="Q83" s="87">
        <f t="shared" ref="Q83:Q113" si="15">M83*P83</f>
        <v>5600</v>
      </c>
      <c r="R83" s="87">
        <v>840</v>
      </c>
      <c r="S83" s="41"/>
      <c r="T83" s="41"/>
      <c r="U83" s="36"/>
      <c r="X83" s="1"/>
    </row>
    <row r="84" spans="1:24" ht="15.75" x14ac:dyDescent="0.2">
      <c r="A84" s="74" t="s">
        <v>56</v>
      </c>
      <c r="B84" s="67" t="s">
        <v>113</v>
      </c>
      <c r="C84" s="67" t="s">
        <v>102</v>
      </c>
      <c r="D84" s="82" t="s">
        <v>114</v>
      </c>
      <c r="E84" s="67">
        <v>45.7</v>
      </c>
      <c r="F84" s="83">
        <v>19</v>
      </c>
      <c r="G84" s="100">
        <v>722</v>
      </c>
      <c r="H84" s="100">
        <f t="shared" si="13"/>
        <v>794.2</v>
      </c>
      <c r="I84" s="83">
        <v>28</v>
      </c>
      <c r="J84" s="85">
        <v>2720</v>
      </c>
      <c r="K84" s="85">
        <f t="shared" si="6"/>
        <v>2992.0000000000005</v>
      </c>
      <c r="L84" s="83" t="s">
        <v>93</v>
      </c>
      <c r="M84" s="86">
        <v>2</v>
      </c>
      <c r="N84" s="84">
        <v>2500</v>
      </c>
      <c r="O84" s="84">
        <f t="shared" si="14"/>
        <v>5000</v>
      </c>
      <c r="P84" s="87">
        <v>2200</v>
      </c>
      <c r="Q84" s="87">
        <f t="shared" si="15"/>
        <v>4400</v>
      </c>
      <c r="R84" s="87">
        <v>840</v>
      </c>
      <c r="S84" s="41"/>
      <c r="T84" s="41"/>
      <c r="U84" s="36"/>
      <c r="X84" s="1"/>
    </row>
    <row r="85" spans="1:24" ht="15.75" x14ac:dyDescent="0.2">
      <c r="A85" s="74" t="s">
        <v>56</v>
      </c>
      <c r="B85" s="67" t="s">
        <v>113</v>
      </c>
      <c r="C85" s="67" t="s">
        <v>103</v>
      </c>
      <c r="D85" s="82" t="s">
        <v>114</v>
      </c>
      <c r="E85" s="67">
        <v>159.6</v>
      </c>
      <c r="F85" s="83">
        <v>19</v>
      </c>
      <c r="G85" s="100">
        <v>3598</v>
      </c>
      <c r="H85" s="100">
        <f t="shared" si="13"/>
        <v>3957.8</v>
      </c>
      <c r="I85" s="83">
        <v>28</v>
      </c>
      <c r="J85" s="85">
        <v>16655</v>
      </c>
      <c r="K85" s="85">
        <f t="shared" si="6"/>
        <v>18320.5</v>
      </c>
      <c r="L85" s="83" t="s">
        <v>91</v>
      </c>
      <c r="M85" s="86">
        <v>6</v>
      </c>
      <c r="N85" s="84">
        <v>5000</v>
      </c>
      <c r="O85" s="84">
        <f t="shared" si="14"/>
        <v>30000</v>
      </c>
      <c r="P85" s="87">
        <v>4500</v>
      </c>
      <c r="Q85" s="87">
        <f t="shared" si="15"/>
        <v>27000</v>
      </c>
      <c r="R85" s="87">
        <v>840</v>
      </c>
      <c r="S85" s="41"/>
      <c r="T85" s="41"/>
      <c r="U85" s="36"/>
      <c r="X85" s="1"/>
    </row>
    <row r="86" spans="1:24" ht="15.75" x14ac:dyDescent="0.2">
      <c r="A86" s="74" t="s">
        <v>56</v>
      </c>
      <c r="B86" s="67" t="s">
        <v>113</v>
      </c>
      <c r="C86" s="67" t="s">
        <v>104</v>
      </c>
      <c r="D86" s="136" t="s">
        <v>130</v>
      </c>
      <c r="E86" s="67">
        <v>121.1</v>
      </c>
      <c r="F86" s="83">
        <v>19</v>
      </c>
      <c r="G86" s="100">
        <v>2108</v>
      </c>
      <c r="H86" s="100">
        <f t="shared" si="13"/>
        <v>2318.8000000000002</v>
      </c>
      <c r="I86" s="83">
        <v>28</v>
      </c>
      <c r="J86" s="85">
        <v>9204</v>
      </c>
      <c r="K86" s="85">
        <f t="shared" si="6"/>
        <v>10124.400000000001</v>
      </c>
      <c r="L86" s="83" t="s">
        <v>91</v>
      </c>
      <c r="M86" s="86">
        <v>4</v>
      </c>
      <c r="N86" s="84">
        <v>5000</v>
      </c>
      <c r="O86" s="84">
        <f t="shared" si="14"/>
        <v>20000</v>
      </c>
      <c r="P86" s="87">
        <v>4500</v>
      </c>
      <c r="Q86" s="87">
        <f t="shared" si="15"/>
        <v>18000</v>
      </c>
      <c r="R86" s="87">
        <v>840</v>
      </c>
      <c r="S86" s="41" t="s">
        <v>39</v>
      </c>
      <c r="T86" s="41" t="s">
        <v>39</v>
      </c>
      <c r="U86" s="36"/>
      <c r="X86" s="1"/>
    </row>
    <row r="87" spans="1:24" ht="7.5" customHeight="1" x14ac:dyDescent="0.2">
      <c r="A87" s="79"/>
      <c r="B87" s="73"/>
      <c r="C87" s="73"/>
      <c r="D87" s="73"/>
      <c r="E87" s="73"/>
      <c r="F87" s="73"/>
      <c r="G87" s="105"/>
      <c r="H87" s="105"/>
      <c r="I87" s="73"/>
      <c r="J87" s="106"/>
      <c r="K87" s="106"/>
      <c r="L87" s="107"/>
      <c r="M87" s="107"/>
      <c r="N87" s="108"/>
      <c r="O87" s="108"/>
      <c r="P87" s="108"/>
      <c r="Q87" s="108"/>
      <c r="R87" s="109"/>
      <c r="S87" s="19"/>
      <c r="T87" s="19"/>
      <c r="U87" s="26"/>
      <c r="X87" s="1"/>
    </row>
    <row r="88" spans="1:24" ht="15.75" x14ac:dyDescent="0.2">
      <c r="A88" s="76" t="s">
        <v>57</v>
      </c>
      <c r="B88" s="69" t="s">
        <v>113</v>
      </c>
      <c r="C88" s="127" t="s">
        <v>75</v>
      </c>
      <c r="D88" s="88" t="s">
        <v>114</v>
      </c>
      <c r="E88" s="127">
        <v>155.1</v>
      </c>
      <c r="F88" s="129">
        <v>19</v>
      </c>
      <c r="G88" s="131">
        <v>4906</v>
      </c>
      <c r="H88" s="131">
        <f>G88*D$2</f>
        <v>5396.6</v>
      </c>
      <c r="I88" s="129">
        <v>28</v>
      </c>
      <c r="J88" s="133">
        <v>13048</v>
      </c>
      <c r="K88" s="133">
        <f t="shared" si="6"/>
        <v>14352.800000000001</v>
      </c>
      <c r="L88" s="135" t="s">
        <v>85</v>
      </c>
      <c r="M88" s="86">
        <v>1</v>
      </c>
      <c r="N88" s="125">
        <v>11400</v>
      </c>
      <c r="O88" s="125">
        <f t="shared" si="14"/>
        <v>11400</v>
      </c>
      <c r="P88" s="126">
        <v>10600</v>
      </c>
      <c r="Q88" s="126">
        <f t="shared" si="15"/>
        <v>10600</v>
      </c>
      <c r="R88" s="126">
        <v>1920</v>
      </c>
      <c r="S88" s="41"/>
      <c r="T88" s="40"/>
      <c r="U88" s="36"/>
      <c r="X88" s="1"/>
    </row>
    <row r="89" spans="1:24" ht="15.75" x14ac:dyDescent="0.2">
      <c r="A89" s="77"/>
      <c r="B89" s="70"/>
      <c r="C89" s="128"/>
      <c r="D89" s="92"/>
      <c r="E89" s="128"/>
      <c r="F89" s="130"/>
      <c r="G89" s="132"/>
      <c r="H89" s="132"/>
      <c r="I89" s="130"/>
      <c r="J89" s="134"/>
      <c r="K89" s="134"/>
      <c r="L89" s="135" t="s">
        <v>93</v>
      </c>
      <c r="M89" s="86">
        <v>4</v>
      </c>
      <c r="N89" s="125">
        <v>2500</v>
      </c>
      <c r="O89" s="125">
        <f t="shared" si="14"/>
        <v>10000</v>
      </c>
      <c r="P89" s="126">
        <v>2200</v>
      </c>
      <c r="Q89" s="126">
        <f t="shared" si="15"/>
        <v>8800</v>
      </c>
      <c r="R89" s="126">
        <v>840</v>
      </c>
      <c r="S89" s="41"/>
      <c r="T89" s="40"/>
      <c r="U89" s="36"/>
      <c r="X89" s="1"/>
    </row>
    <row r="90" spans="1:24" ht="15.75" x14ac:dyDescent="0.2">
      <c r="A90" s="74" t="s">
        <v>57</v>
      </c>
      <c r="B90" s="67" t="s">
        <v>113</v>
      </c>
      <c r="C90" s="67" t="s">
        <v>76</v>
      </c>
      <c r="D90" s="82" t="s">
        <v>114</v>
      </c>
      <c r="E90" s="67">
        <v>43</v>
      </c>
      <c r="F90" s="83">
        <v>19</v>
      </c>
      <c r="G90" s="100">
        <v>679</v>
      </c>
      <c r="H90" s="100">
        <f>G90*D$2</f>
        <v>746.90000000000009</v>
      </c>
      <c r="I90" s="83">
        <v>28</v>
      </c>
      <c r="J90" s="85">
        <v>4227</v>
      </c>
      <c r="K90" s="85">
        <f t="shared" si="6"/>
        <v>4649.7000000000007</v>
      </c>
      <c r="L90" s="83" t="s">
        <v>92</v>
      </c>
      <c r="M90" s="86">
        <v>2</v>
      </c>
      <c r="N90" s="84">
        <v>4200</v>
      </c>
      <c r="O90" s="84">
        <f t="shared" si="14"/>
        <v>8400</v>
      </c>
      <c r="P90" s="87">
        <v>3600</v>
      </c>
      <c r="Q90" s="87">
        <f t="shared" si="15"/>
        <v>7200</v>
      </c>
      <c r="R90" s="87">
        <v>840</v>
      </c>
      <c r="S90" s="41"/>
      <c r="T90" s="41"/>
      <c r="U90" s="36"/>
      <c r="X90" s="1"/>
    </row>
    <row r="91" spans="1:24" ht="15.75" x14ac:dyDescent="0.2">
      <c r="A91" s="74" t="s">
        <v>57</v>
      </c>
      <c r="B91" s="67" t="s">
        <v>113</v>
      </c>
      <c r="C91" s="67" t="s">
        <v>124</v>
      </c>
      <c r="D91" s="82" t="s">
        <v>114</v>
      </c>
      <c r="E91" s="67">
        <v>16.8</v>
      </c>
      <c r="F91" s="83">
        <v>19</v>
      </c>
      <c r="G91" s="100">
        <v>354</v>
      </c>
      <c r="H91" s="100">
        <f>G91*D$2</f>
        <v>389.40000000000003</v>
      </c>
      <c r="I91" s="83">
        <v>28</v>
      </c>
      <c r="J91" s="85">
        <v>1768</v>
      </c>
      <c r="K91" s="85">
        <f t="shared" si="6"/>
        <v>1944.8000000000002</v>
      </c>
      <c r="L91" s="83" t="s">
        <v>92</v>
      </c>
      <c r="M91" s="86">
        <v>1</v>
      </c>
      <c r="N91" s="84">
        <v>4200</v>
      </c>
      <c r="O91" s="84">
        <f t="shared" si="14"/>
        <v>4200</v>
      </c>
      <c r="P91" s="87">
        <v>3600</v>
      </c>
      <c r="Q91" s="87">
        <f t="shared" si="15"/>
        <v>3600</v>
      </c>
      <c r="R91" s="87">
        <v>840</v>
      </c>
      <c r="S91" s="41"/>
      <c r="T91" s="41"/>
      <c r="U91" s="36"/>
      <c r="X91" s="1"/>
    </row>
    <row r="92" spans="1:24" ht="15.75" x14ac:dyDescent="0.2">
      <c r="A92" s="74" t="s">
        <v>57</v>
      </c>
      <c r="B92" s="67" t="s">
        <v>113</v>
      </c>
      <c r="C92" s="67" t="s">
        <v>125</v>
      </c>
      <c r="D92" s="82" t="s">
        <v>114</v>
      </c>
      <c r="E92" s="67">
        <v>20.7</v>
      </c>
      <c r="F92" s="83">
        <v>19</v>
      </c>
      <c r="G92" s="100">
        <v>524</v>
      </c>
      <c r="H92" s="100">
        <f>G92*D$2</f>
        <v>576.40000000000009</v>
      </c>
      <c r="I92" s="83">
        <v>28</v>
      </c>
      <c r="J92" s="85">
        <v>2496</v>
      </c>
      <c r="K92" s="85">
        <f t="shared" si="6"/>
        <v>2745.6000000000004</v>
      </c>
      <c r="L92" s="83" t="s">
        <v>92</v>
      </c>
      <c r="M92" s="86">
        <v>1</v>
      </c>
      <c r="N92" s="84">
        <v>4200</v>
      </c>
      <c r="O92" s="84">
        <f t="shared" si="14"/>
        <v>4200</v>
      </c>
      <c r="P92" s="87">
        <v>3600</v>
      </c>
      <c r="Q92" s="87">
        <f t="shared" si="15"/>
        <v>3600</v>
      </c>
      <c r="R92" s="87">
        <v>840</v>
      </c>
      <c r="S92" s="41"/>
      <c r="T92" s="41"/>
      <c r="U92" s="36"/>
      <c r="X92" s="1"/>
    </row>
    <row r="93" spans="1:24" ht="3" customHeight="1" x14ac:dyDescent="0.2">
      <c r="A93" s="75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50"/>
      <c r="T93" s="50"/>
      <c r="U93" s="50"/>
      <c r="X93" s="1"/>
    </row>
    <row r="94" spans="1:24" ht="15.75" x14ac:dyDescent="0.2">
      <c r="A94" s="74" t="s">
        <v>58</v>
      </c>
      <c r="B94" s="67" t="s">
        <v>113</v>
      </c>
      <c r="C94" s="67" t="s">
        <v>126</v>
      </c>
      <c r="D94" s="82" t="s">
        <v>114</v>
      </c>
      <c r="E94" s="67">
        <v>42</v>
      </c>
      <c r="F94" s="83">
        <v>19</v>
      </c>
      <c r="G94" s="100">
        <v>833</v>
      </c>
      <c r="H94" s="100">
        <f t="shared" ref="H94:H100" si="16">G94*D$2</f>
        <v>916.30000000000007</v>
      </c>
      <c r="I94" s="83">
        <v>28</v>
      </c>
      <c r="J94" s="85">
        <v>4587</v>
      </c>
      <c r="K94" s="85">
        <f t="shared" si="6"/>
        <v>5045.7000000000007</v>
      </c>
      <c r="L94" s="83" t="s">
        <v>97</v>
      </c>
      <c r="M94" s="86">
        <v>1</v>
      </c>
      <c r="N94" s="84">
        <v>6300</v>
      </c>
      <c r="O94" s="84">
        <f t="shared" si="14"/>
        <v>6300</v>
      </c>
      <c r="P94" s="87">
        <v>5600</v>
      </c>
      <c r="Q94" s="87">
        <f t="shared" si="15"/>
        <v>5600</v>
      </c>
      <c r="R94" s="87">
        <v>960</v>
      </c>
      <c r="S94" s="41" t="s">
        <v>39</v>
      </c>
      <c r="T94" s="41" t="s">
        <v>39</v>
      </c>
      <c r="U94" s="36"/>
      <c r="X94" s="1"/>
    </row>
    <row r="95" spans="1:24" ht="15.75" x14ac:dyDescent="0.2">
      <c r="A95" s="74" t="s">
        <v>58</v>
      </c>
      <c r="B95" s="67" t="s">
        <v>113</v>
      </c>
      <c r="C95" s="67" t="s">
        <v>127</v>
      </c>
      <c r="D95" s="82" t="s">
        <v>114</v>
      </c>
      <c r="E95" s="67">
        <v>24</v>
      </c>
      <c r="F95" s="83">
        <v>19</v>
      </c>
      <c r="G95" s="100">
        <v>506</v>
      </c>
      <c r="H95" s="100">
        <f t="shared" si="16"/>
        <v>556.6</v>
      </c>
      <c r="I95" s="83">
        <v>28</v>
      </c>
      <c r="J95" s="85">
        <v>2619</v>
      </c>
      <c r="K95" s="85">
        <f t="shared" si="6"/>
        <v>2880.9</v>
      </c>
      <c r="L95" s="83" t="s">
        <v>97</v>
      </c>
      <c r="M95" s="86">
        <v>1</v>
      </c>
      <c r="N95" s="84">
        <v>6300</v>
      </c>
      <c r="O95" s="84">
        <f t="shared" si="14"/>
        <v>6300</v>
      </c>
      <c r="P95" s="87">
        <v>5600</v>
      </c>
      <c r="Q95" s="87">
        <f t="shared" si="15"/>
        <v>5600</v>
      </c>
      <c r="R95" s="87">
        <v>960</v>
      </c>
      <c r="S95" s="41"/>
      <c r="T95" s="41"/>
      <c r="U95" s="36"/>
      <c r="X95" s="1"/>
    </row>
    <row r="96" spans="1:24" ht="15.75" x14ac:dyDescent="0.2">
      <c r="A96" s="74" t="s">
        <v>58</v>
      </c>
      <c r="B96" s="67" t="s">
        <v>113</v>
      </c>
      <c r="C96" s="67" t="s">
        <v>128</v>
      </c>
      <c r="D96" s="82" t="s">
        <v>114</v>
      </c>
      <c r="E96" s="67">
        <v>19.8</v>
      </c>
      <c r="F96" s="83">
        <v>19</v>
      </c>
      <c r="G96" s="100">
        <v>308</v>
      </c>
      <c r="H96" s="100">
        <f t="shared" si="16"/>
        <v>338.8</v>
      </c>
      <c r="I96" s="83">
        <v>28</v>
      </c>
      <c r="J96" s="85">
        <v>1894</v>
      </c>
      <c r="K96" s="85">
        <f t="shared" si="6"/>
        <v>2083.4</v>
      </c>
      <c r="L96" s="83" t="s">
        <v>92</v>
      </c>
      <c r="M96" s="86">
        <v>1</v>
      </c>
      <c r="N96" s="84">
        <v>4200</v>
      </c>
      <c r="O96" s="84">
        <f t="shared" si="14"/>
        <v>4200</v>
      </c>
      <c r="P96" s="87">
        <v>3600</v>
      </c>
      <c r="Q96" s="87">
        <f t="shared" si="15"/>
        <v>3600</v>
      </c>
      <c r="R96" s="87">
        <v>840</v>
      </c>
      <c r="S96" s="41" t="s">
        <v>39</v>
      </c>
      <c r="T96" s="41" t="s">
        <v>39</v>
      </c>
      <c r="U96" s="36"/>
      <c r="V96">
        <v>1</v>
      </c>
      <c r="X96" s="1"/>
    </row>
    <row r="97" spans="1:24" ht="15.75" x14ac:dyDescent="0.2">
      <c r="A97" s="74" t="s">
        <v>58</v>
      </c>
      <c r="B97" s="67" t="s">
        <v>113</v>
      </c>
      <c r="C97" s="72" t="s">
        <v>129</v>
      </c>
      <c r="D97" s="82" t="s">
        <v>114</v>
      </c>
      <c r="E97" s="72">
        <v>23.4</v>
      </c>
      <c r="F97" s="103">
        <v>19</v>
      </c>
      <c r="G97" s="101">
        <v>419</v>
      </c>
      <c r="H97" s="100">
        <f t="shared" si="16"/>
        <v>460.90000000000003</v>
      </c>
      <c r="I97" s="103">
        <v>28</v>
      </c>
      <c r="J97" s="104">
        <v>2268</v>
      </c>
      <c r="K97" s="85">
        <f t="shared" si="6"/>
        <v>2494.8000000000002</v>
      </c>
      <c r="L97" s="83" t="s">
        <v>92</v>
      </c>
      <c r="M97" s="86">
        <v>1</v>
      </c>
      <c r="N97" s="84">
        <v>4200</v>
      </c>
      <c r="O97" s="84">
        <f t="shared" si="14"/>
        <v>4200</v>
      </c>
      <c r="P97" s="87">
        <v>3600</v>
      </c>
      <c r="Q97" s="87">
        <f t="shared" si="15"/>
        <v>3600</v>
      </c>
      <c r="R97" s="87">
        <v>840</v>
      </c>
      <c r="S97" s="41"/>
      <c r="T97" s="41"/>
      <c r="U97" s="36"/>
      <c r="X97" s="1"/>
    </row>
    <row r="98" spans="1:24" ht="15.75" x14ac:dyDescent="0.2">
      <c r="A98" s="76" t="s">
        <v>58</v>
      </c>
      <c r="B98" s="69" t="s">
        <v>113</v>
      </c>
      <c r="C98" s="69" t="s">
        <v>99</v>
      </c>
      <c r="D98" s="88" t="s">
        <v>114</v>
      </c>
      <c r="E98" s="69">
        <v>108.5</v>
      </c>
      <c r="F98" s="89">
        <v>19</v>
      </c>
      <c r="G98" s="98">
        <v>1672</v>
      </c>
      <c r="H98" s="98">
        <f t="shared" si="16"/>
        <v>1839.2</v>
      </c>
      <c r="I98" s="89">
        <v>28</v>
      </c>
      <c r="J98" s="91">
        <v>6496</v>
      </c>
      <c r="K98" s="91">
        <f t="shared" si="6"/>
        <v>7145.6</v>
      </c>
      <c r="L98" s="83" t="s">
        <v>92</v>
      </c>
      <c r="M98" s="86">
        <v>5</v>
      </c>
      <c r="N98" s="84">
        <v>4200</v>
      </c>
      <c r="O98" s="84">
        <f t="shared" si="14"/>
        <v>21000</v>
      </c>
      <c r="P98" s="87">
        <v>3600</v>
      </c>
      <c r="Q98" s="87">
        <f t="shared" si="15"/>
        <v>18000</v>
      </c>
      <c r="R98" s="87">
        <v>840</v>
      </c>
      <c r="S98" s="40"/>
      <c r="T98" s="40"/>
      <c r="U98" s="36"/>
      <c r="X98" s="1"/>
    </row>
    <row r="99" spans="1:24" ht="15.75" x14ac:dyDescent="0.2">
      <c r="A99" s="77"/>
      <c r="B99" s="70"/>
      <c r="C99" s="70"/>
      <c r="D99" s="92"/>
      <c r="E99" s="70"/>
      <c r="F99" s="93"/>
      <c r="G99" s="99"/>
      <c r="H99" s="99"/>
      <c r="I99" s="93"/>
      <c r="J99" s="95"/>
      <c r="K99" s="95"/>
      <c r="L99" s="83" t="s">
        <v>90</v>
      </c>
      <c r="M99" s="86">
        <v>2</v>
      </c>
      <c r="N99" s="84">
        <v>3200</v>
      </c>
      <c r="O99" s="84">
        <f t="shared" si="14"/>
        <v>6400</v>
      </c>
      <c r="P99" s="87">
        <v>2800</v>
      </c>
      <c r="Q99" s="87">
        <f t="shared" si="15"/>
        <v>5600</v>
      </c>
      <c r="R99" s="87">
        <v>840</v>
      </c>
      <c r="S99" s="40"/>
      <c r="T99" s="40"/>
      <c r="U99" s="36"/>
      <c r="X99" s="1"/>
    </row>
    <row r="100" spans="1:24" ht="15.75" x14ac:dyDescent="0.2">
      <c r="A100" s="78" t="s">
        <v>58</v>
      </c>
      <c r="B100" s="72" t="s">
        <v>113</v>
      </c>
      <c r="C100" s="72" t="s">
        <v>100</v>
      </c>
      <c r="D100" s="136" t="s">
        <v>130</v>
      </c>
      <c r="E100" s="72">
        <v>161.1</v>
      </c>
      <c r="F100" s="103">
        <v>19</v>
      </c>
      <c r="G100" s="101">
        <v>3994</v>
      </c>
      <c r="H100" s="101">
        <f t="shared" si="16"/>
        <v>4393.4000000000005</v>
      </c>
      <c r="I100" s="103">
        <v>28</v>
      </c>
      <c r="J100" s="85">
        <v>14686</v>
      </c>
      <c r="K100" s="85">
        <f t="shared" ref="K100" si="17">J100*D$2</f>
        <v>16154.600000000002</v>
      </c>
      <c r="L100" s="83" t="s">
        <v>90</v>
      </c>
      <c r="M100" s="86">
        <v>4</v>
      </c>
      <c r="N100" s="84">
        <v>3200</v>
      </c>
      <c r="O100" s="84">
        <f t="shared" si="14"/>
        <v>12800</v>
      </c>
      <c r="P100" s="87">
        <v>2800</v>
      </c>
      <c r="Q100" s="87">
        <f t="shared" si="15"/>
        <v>11200</v>
      </c>
      <c r="R100" s="87">
        <v>840</v>
      </c>
      <c r="S100" s="40"/>
      <c r="T100" s="40"/>
      <c r="U100" s="36"/>
      <c r="X100" s="1"/>
    </row>
    <row r="101" spans="1:24" ht="7.5" customHeight="1" x14ac:dyDescent="0.2">
      <c r="A101" s="79"/>
      <c r="B101" s="73"/>
      <c r="C101" s="73"/>
      <c r="D101" s="73"/>
      <c r="E101" s="73"/>
      <c r="F101" s="73"/>
      <c r="G101" s="105"/>
      <c r="H101" s="105"/>
      <c r="I101" s="73"/>
      <c r="J101" s="106"/>
      <c r="K101" s="106"/>
      <c r="L101" s="107"/>
      <c r="M101" s="107"/>
      <c r="N101" s="108"/>
      <c r="O101" s="108"/>
      <c r="P101" s="108"/>
      <c r="Q101" s="108"/>
      <c r="R101" s="109"/>
      <c r="S101" s="19"/>
      <c r="T101" s="19"/>
      <c r="U101" s="26"/>
      <c r="X101" s="1"/>
    </row>
    <row r="102" spans="1:24" ht="12" customHeight="1" x14ac:dyDescent="0.2">
      <c r="A102" s="74" t="s">
        <v>59</v>
      </c>
      <c r="B102" s="67" t="s">
        <v>113</v>
      </c>
      <c r="C102" s="67" t="s">
        <v>77</v>
      </c>
      <c r="D102" s="82" t="s">
        <v>114</v>
      </c>
      <c r="E102" s="72">
        <v>160.1</v>
      </c>
      <c r="F102" s="83">
        <v>19</v>
      </c>
      <c r="G102" s="100">
        <v>3897</v>
      </c>
      <c r="H102" s="100">
        <f t="shared" ref="H102:H113" si="18">G102*D$2</f>
        <v>4286.7000000000007</v>
      </c>
      <c r="I102" s="83">
        <v>28</v>
      </c>
      <c r="J102" s="85">
        <v>12616</v>
      </c>
      <c r="K102" s="85">
        <f t="shared" ref="K102:K113" si="19">J102*D$2</f>
        <v>13877.6</v>
      </c>
      <c r="L102" s="83" t="s">
        <v>91</v>
      </c>
      <c r="M102" s="86">
        <v>4</v>
      </c>
      <c r="N102" s="84">
        <v>5000</v>
      </c>
      <c r="O102" s="84">
        <f t="shared" si="14"/>
        <v>20000</v>
      </c>
      <c r="P102" s="87">
        <v>4500</v>
      </c>
      <c r="Q102" s="87">
        <f t="shared" si="15"/>
        <v>18000</v>
      </c>
      <c r="R102" s="87">
        <v>840</v>
      </c>
      <c r="S102" s="41" t="s">
        <v>39</v>
      </c>
      <c r="T102" s="40" t="s">
        <v>38</v>
      </c>
      <c r="U102" s="36"/>
      <c r="V102">
        <v>1</v>
      </c>
      <c r="X102" s="1"/>
    </row>
    <row r="103" spans="1:24" ht="12" customHeight="1" x14ac:dyDescent="0.2">
      <c r="A103" s="74" t="s">
        <v>59</v>
      </c>
      <c r="B103" s="67" t="s">
        <v>113</v>
      </c>
      <c r="C103" s="67" t="s">
        <v>78</v>
      </c>
      <c r="D103" s="82" t="s">
        <v>114</v>
      </c>
      <c r="E103" s="67">
        <v>37.9</v>
      </c>
      <c r="F103" s="83">
        <v>19</v>
      </c>
      <c r="G103" s="100">
        <v>641</v>
      </c>
      <c r="H103" s="100">
        <f t="shared" si="18"/>
        <v>705.1</v>
      </c>
      <c r="I103" s="83">
        <v>28</v>
      </c>
      <c r="J103" s="85">
        <v>3505</v>
      </c>
      <c r="K103" s="85">
        <f t="shared" si="19"/>
        <v>3855.5000000000005</v>
      </c>
      <c r="L103" s="83" t="s">
        <v>97</v>
      </c>
      <c r="M103" s="86">
        <v>1</v>
      </c>
      <c r="N103" s="84">
        <v>6300</v>
      </c>
      <c r="O103" s="84">
        <f t="shared" si="14"/>
        <v>6300</v>
      </c>
      <c r="P103" s="87">
        <v>5600</v>
      </c>
      <c r="Q103" s="87">
        <f t="shared" si="15"/>
        <v>5600</v>
      </c>
      <c r="R103" s="87">
        <v>960</v>
      </c>
      <c r="S103" s="41"/>
      <c r="T103" s="41"/>
      <c r="U103" s="36"/>
      <c r="X103" s="1"/>
    </row>
    <row r="104" spans="1:24" ht="12" customHeight="1" x14ac:dyDescent="0.2">
      <c r="A104" s="74" t="s">
        <v>59</v>
      </c>
      <c r="B104" s="67" t="s">
        <v>113</v>
      </c>
      <c r="C104" s="67" t="s">
        <v>79</v>
      </c>
      <c r="D104" s="82" t="s">
        <v>114</v>
      </c>
      <c r="E104" s="67">
        <v>36.700000000000003</v>
      </c>
      <c r="F104" s="83">
        <v>19</v>
      </c>
      <c r="G104" s="100">
        <v>968</v>
      </c>
      <c r="H104" s="100">
        <f t="shared" si="18"/>
        <v>1064.8000000000002</v>
      </c>
      <c r="I104" s="83">
        <v>28</v>
      </c>
      <c r="J104" s="85">
        <v>4398</v>
      </c>
      <c r="K104" s="85">
        <f t="shared" si="19"/>
        <v>4837.8</v>
      </c>
      <c r="L104" s="83" t="s">
        <v>92</v>
      </c>
      <c r="M104" s="86">
        <v>2</v>
      </c>
      <c r="N104" s="84">
        <v>4200</v>
      </c>
      <c r="O104" s="84">
        <f t="shared" si="14"/>
        <v>8400</v>
      </c>
      <c r="P104" s="87">
        <v>3600</v>
      </c>
      <c r="Q104" s="87">
        <f t="shared" si="15"/>
        <v>7200</v>
      </c>
      <c r="R104" s="87">
        <v>840</v>
      </c>
      <c r="S104" s="41"/>
      <c r="T104" s="41"/>
      <c r="U104" s="36"/>
      <c r="X104" s="1"/>
    </row>
    <row r="105" spans="1:24" ht="3" customHeight="1" x14ac:dyDescent="0.2">
      <c r="A105" s="75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50"/>
      <c r="T105" s="50"/>
      <c r="U105" s="50"/>
      <c r="X105" s="1"/>
    </row>
    <row r="106" spans="1:24" ht="12" customHeight="1" x14ac:dyDescent="0.2">
      <c r="A106" s="74" t="s">
        <v>60</v>
      </c>
      <c r="B106" s="67" t="s">
        <v>113</v>
      </c>
      <c r="C106" s="67" t="s">
        <v>80</v>
      </c>
      <c r="D106" s="82" t="s">
        <v>114</v>
      </c>
      <c r="E106" s="67">
        <v>33.700000000000003</v>
      </c>
      <c r="F106" s="83">
        <v>19</v>
      </c>
      <c r="G106" s="100">
        <v>428</v>
      </c>
      <c r="H106" s="100">
        <f t="shared" si="18"/>
        <v>470.8</v>
      </c>
      <c r="I106" s="83">
        <v>28</v>
      </c>
      <c r="J106" s="85">
        <v>2935</v>
      </c>
      <c r="K106" s="85">
        <f t="shared" si="19"/>
        <v>3228.5000000000005</v>
      </c>
      <c r="L106" s="83" t="s">
        <v>97</v>
      </c>
      <c r="M106" s="86">
        <v>1</v>
      </c>
      <c r="N106" s="84">
        <v>6300</v>
      </c>
      <c r="O106" s="84">
        <f t="shared" si="14"/>
        <v>6300</v>
      </c>
      <c r="P106" s="87">
        <v>5600</v>
      </c>
      <c r="Q106" s="87">
        <f t="shared" si="15"/>
        <v>5600</v>
      </c>
      <c r="R106" s="87">
        <v>960</v>
      </c>
      <c r="S106" s="40" t="s">
        <v>38</v>
      </c>
      <c r="T106" s="41" t="s">
        <v>39</v>
      </c>
      <c r="U106" s="36"/>
      <c r="V106">
        <v>1</v>
      </c>
      <c r="X106" s="1"/>
    </row>
    <row r="107" spans="1:24" ht="12" customHeight="1" x14ac:dyDescent="0.2">
      <c r="A107" s="74" t="s">
        <v>60</v>
      </c>
      <c r="B107" s="67" t="s">
        <v>113</v>
      </c>
      <c r="C107" s="67" t="s">
        <v>81</v>
      </c>
      <c r="D107" s="82" t="s">
        <v>114</v>
      </c>
      <c r="E107" s="67">
        <v>50.4</v>
      </c>
      <c r="F107" s="83">
        <v>19</v>
      </c>
      <c r="G107" s="100">
        <v>1013</v>
      </c>
      <c r="H107" s="100">
        <f t="shared" si="18"/>
        <v>1114.3000000000002</v>
      </c>
      <c r="I107" s="83">
        <v>28</v>
      </c>
      <c r="J107" s="85">
        <v>5944</v>
      </c>
      <c r="K107" s="85">
        <f t="shared" si="19"/>
        <v>6538.4000000000005</v>
      </c>
      <c r="L107" s="83" t="s">
        <v>96</v>
      </c>
      <c r="M107" s="86">
        <v>1</v>
      </c>
      <c r="N107" s="84">
        <v>10000</v>
      </c>
      <c r="O107" s="84">
        <f t="shared" si="14"/>
        <v>10000</v>
      </c>
      <c r="P107" s="87">
        <v>9000</v>
      </c>
      <c r="Q107" s="87">
        <f t="shared" si="15"/>
        <v>9000</v>
      </c>
      <c r="R107" s="87">
        <v>1500</v>
      </c>
      <c r="S107" s="41" t="s">
        <v>39</v>
      </c>
      <c r="T107" s="41" t="s">
        <v>39</v>
      </c>
      <c r="U107" s="36"/>
      <c r="X107" s="1"/>
    </row>
    <row r="108" spans="1:24" ht="12" customHeight="1" x14ac:dyDescent="0.2">
      <c r="A108" s="74" t="s">
        <v>60</v>
      </c>
      <c r="B108" s="67" t="s">
        <v>113</v>
      </c>
      <c r="C108" s="67" t="s">
        <v>82</v>
      </c>
      <c r="D108" s="82" t="s">
        <v>115</v>
      </c>
      <c r="E108" s="67">
        <v>74.5</v>
      </c>
      <c r="F108" s="83">
        <v>19</v>
      </c>
      <c r="G108" s="100">
        <v>1956</v>
      </c>
      <c r="H108" s="100">
        <f t="shared" si="18"/>
        <v>2151.6000000000004</v>
      </c>
      <c r="I108" s="83">
        <v>28</v>
      </c>
      <c r="J108" s="85">
        <v>6741</v>
      </c>
      <c r="K108" s="85">
        <f t="shared" si="19"/>
        <v>7415.1</v>
      </c>
      <c r="L108" s="83" t="s">
        <v>91</v>
      </c>
      <c r="M108" s="86">
        <v>2</v>
      </c>
      <c r="N108" s="84">
        <v>5000</v>
      </c>
      <c r="O108" s="84">
        <f t="shared" si="14"/>
        <v>10000</v>
      </c>
      <c r="P108" s="87">
        <v>4500</v>
      </c>
      <c r="Q108" s="87">
        <f t="shared" si="15"/>
        <v>9000</v>
      </c>
      <c r="R108" s="87">
        <v>840</v>
      </c>
      <c r="S108" s="41" t="s">
        <v>39</v>
      </c>
      <c r="T108" s="41" t="s">
        <v>39</v>
      </c>
      <c r="U108" s="36"/>
      <c r="V108">
        <v>1</v>
      </c>
      <c r="X108" s="1"/>
    </row>
    <row r="109" spans="1:24" ht="7.5" customHeight="1" x14ac:dyDescent="0.2">
      <c r="A109" s="79"/>
      <c r="B109" s="73"/>
      <c r="C109" s="73"/>
      <c r="D109" s="73"/>
      <c r="E109" s="73"/>
      <c r="F109" s="73"/>
      <c r="G109" s="105"/>
      <c r="H109" s="105"/>
      <c r="I109" s="73"/>
      <c r="J109" s="106"/>
      <c r="K109" s="106"/>
      <c r="L109" s="107"/>
      <c r="M109" s="107"/>
      <c r="N109" s="108"/>
      <c r="O109" s="108"/>
      <c r="P109" s="108"/>
      <c r="Q109" s="108"/>
      <c r="R109" s="109"/>
      <c r="S109" s="19"/>
      <c r="T109" s="19"/>
      <c r="U109" s="26"/>
      <c r="X109" s="1"/>
    </row>
    <row r="110" spans="1:24" ht="15.75" x14ac:dyDescent="0.2">
      <c r="A110" s="74" t="s">
        <v>61</v>
      </c>
      <c r="B110" s="67" t="s">
        <v>113</v>
      </c>
      <c r="C110" s="67" t="s">
        <v>83</v>
      </c>
      <c r="D110" s="82" t="s">
        <v>114</v>
      </c>
      <c r="E110" s="67">
        <v>140.19999999999999</v>
      </c>
      <c r="F110" s="83">
        <v>19</v>
      </c>
      <c r="G110" s="100">
        <v>5656</v>
      </c>
      <c r="H110" s="100">
        <f t="shared" si="18"/>
        <v>6221.6</v>
      </c>
      <c r="I110" s="83">
        <v>28</v>
      </c>
      <c r="J110" s="85">
        <v>13911</v>
      </c>
      <c r="K110" s="85">
        <f t="shared" si="19"/>
        <v>15302.1</v>
      </c>
      <c r="L110" s="83" t="s">
        <v>85</v>
      </c>
      <c r="M110" s="86">
        <v>2</v>
      </c>
      <c r="N110" s="84">
        <v>11400</v>
      </c>
      <c r="O110" s="84">
        <f t="shared" si="14"/>
        <v>22800</v>
      </c>
      <c r="P110" s="87">
        <v>10600</v>
      </c>
      <c r="Q110" s="87">
        <f t="shared" si="15"/>
        <v>21200</v>
      </c>
      <c r="R110" s="87">
        <v>1920</v>
      </c>
      <c r="S110" s="41" t="s">
        <v>39</v>
      </c>
      <c r="T110" s="40" t="s">
        <v>38</v>
      </c>
      <c r="U110" s="36"/>
      <c r="V110">
        <v>1</v>
      </c>
      <c r="X110" s="1"/>
    </row>
    <row r="111" spans="1:24" ht="15.75" x14ac:dyDescent="0.2">
      <c r="A111" s="74" t="s">
        <v>61</v>
      </c>
      <c r="B111" s="67" t="s">
        <v>113</v>
      </c>
      <c r="C111" s="67" t="s">
        <v>83</v>
      </c>
      <c r="D111" s="82" t="s">
        <v>114</v>
      </c>
      <c r="E111" s="67">
        <v>51.8</v>
      </c>
      <c r="F111" s="83">
        <v>19</v>
      </c>
      <c r="G111" s="100">
        <v>1921</v>
      </c>
      <c r="H111" s="100">
        <f t="shared" si="18"/>
        <v>2113.1000000000004</v>
      </c>
      <c r="I111" s="83">
        <v>28</v>
      </c>
      <c r="J111" s="85">
        <v>5220</v>
      </c>
      <c r="K111" s="85">
        <f t="shared" si="19"/>
        <v>5742.0000000000009</v>
      </c>
      <c r="L111" s="83" t="s">
        <v>96</v>
      </c>
      <c r="M111" s="86">
        <v>1</v>
      </c>
      <c r="N111" s="84">
        <v>10000</v>
      </c>
      <c r="O111" s="84">
        <f t="shared" si="14"/>
        <v>10000</v>
      </c>
      <c r="P111" s="87">
        <v>9000</v>
      </c>
      <c r="Q111" s="87">
        <f t="shared" si="15"/>
        <v>9000</v>
      </c>
      <c r="R111" s="87">
        <v>1500</v>
      </c>
      <c r="S111" s="41"/>
      <c r="T111" s="41"/>
      <c r="U111" s="36"/>
      <c r="X111" s="1"/>
    </row>
    <row r="112" spans="1:24" ht="3" customHeight="1" x14ac:dyDescent="0.2">
      <c r="A112" s="75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50"/>
      <c r="T112" s="50"/>
      <c r="U112" s="50"/>
      <c r="X112" s="1"/>
    </row>
    <row r="113" spans="1:24" ht="15.75" x14ac:dyDescent="0.2">
      <c r="A113" s="74" t="s">
        <v>62</v>
      </c>
      <c r="B113" s="67" t="s">
        <v>113</v>
      </c>
      <c r="C113" s="67" t="s">
        <v>84</v>
      </c>
      <c r="D113" s="82" t="s">
        <v>114</v>
      </c>
      <c r="E113" s="67">
        <v>137.6</v>
      </c>
      <c r="F113" s="83">
        <v>19</v>
      </c>
      <c r="G113" s="100">
        <v>4902</v>
      </c>
      <c r="H113" s="100">
        <f t="shared" si="18"/>
        <v>5392.2000000000007</v>
      </c>
      <c r="I113" s="83">
        <v>28</v>
      </c>
      <c r="J113" s="85">
        <v>13776</v>
      </c>
      <c r="K113" s="85">
        <f t="shared" si="19"/>
        <v>15153.6</v>
      </c>
      <c r="L113" s="83" t="s">
        <v>91</v>
      </c>
      <c r="M113" s="86">
        <v>5</v>
      </c>
      <c r="N113" s="84">
        <v>5000</v>
      </c>
      <c r="O113" s="84">
        <f t="shared" si="14"/>
        <v>25000</v>
      </c>
      <c r="P113" s="87">
        <v>4500</v>
      </c>
      <c r="Q113" s="87">
        <f t="shared" si="15"/>
        <v>22500</v>
      </c>
      <c r="R113" s="87">
        <v>840</v>
      </c>
      <c r="S113" s="40" t="s">
        <v>38</v>
      </c>
      <c r="T113" s="41" t="s">
        <v>39</v>
      </c>
      <c r="U113" s="36"/>
      <c r="V113">
        <v>1</v>
      </c>
      <c r="X113" s="1"/>
    </row>
    <row r="114" spans="1:24" ht="7.5" customHeight="1" x14ac:dyDescent="0.2">
      <c r="A114" s="80"/>
      <c r="B114" s="73"/>
      <c r="C114" s="73"/>
      <c r="D114" s="73"/>
      <c r="E114" s="73"/>
      <c r="F114" s="73"/>
      <c r="G114" s="105"/>
      <c r="H114" s="105"/>
      <c r="I114" s="73"/>
      <c r="J114" s="106"/>
      <c r="K114" s="106"/>
      <c r="L114" s="107"/>
      <c r="M114" s="107"/>
      <c r="N114" s="108"/>
      <c r="O114" s="108"/>
      <c r="P114" s="109"/>
      <c r="Q114" s="109"/>
      <c r="R114" s="109"/>
      <c r="S114" s="19"/>
      <c r="T114" s="19"/>
      <c r="U114" s="26"/>
      <c r="X114" s="1"/>
    </row>
    <row r="115" spans="1:24" ht="15.75" x14ac:dyDescent="0.2">
      <c r="A115" s="81"/>
      <c r="B115" s="42"/>
      <c r="C115" s="110"/>
      <c r="D115" s="110"/>
      <c r="E115" s="110"/>
      <c r="F115" s="111"/>
      <c r="G115" s="112"/>
      <c r="H115" s="112"/>
      <c r="I115" s="111"/>
      <c r="J115" s="113"/>
      <c r="K115" s="113"/>
      <c r="L115" s="111"/>
      <c r="M115" s="111"/>
      <c r="N115" s="114"/>
      <c r="O115" s="114"/>
      <c r="P115" s="115"/>
      <c r="Q115" s="115"/>
      <c r="R115" s="115"/>
      <c r="S115" s="43"/>
      <c r="T115" s="43"/>
      <c r="U115" s="39"/>
      <c r="X115" s="1"/>
    </row>
    <row r="116" spans="1:24" ht="15.75" x14ac:dyDescent="0.25">
      <c r="B116" t="s">
        <v>42</v>
      </c>
      <c r="C116" s="116">
        <f ca="1">+SUMIF(U$74:V$114,B116,V$74:V$114)</f>
        <v>0</v>
      </c>
      <c r="D116" s="116"/>
      <c r="E116" s="116"/>
      <c r="F116" s="116"/>
      <c r="G116" s="117"/>
      <c r="H116" s="117"/>
      <c r="I116" s="116"/>
      <c r="J116" s="118"/>
      <c r="K116" s="118"/>
      <c r="L116" s="116"/>
      <c r="M116" s="116"/>
      <c r="N116" s="112"/>
      <c r="O116" s="112"/>
      <c r="P116" s="115"/>
      <c r="Q116" s="115"/>
      <c r="R116" s="113"/>
    </row>
    <row r="117" spans="1:24" x14ac:dyDescent="0.2">
      <c r="B117" t="s">
        <v>41</v>
      </c>
      <c r="C117">
        <f ca="1">+SUMIF(U$74:V$114,B117,V$74:V$114)</f>
        <v>0</v>
      </c>
    </row>
    <row r="118" spans="1:24" x14ac:dyDescent="0.2">
      <c r="B118" t="s">
        <v>40</v>
      </c>
      <c r="C118">
        <f ca="1">+SUMIF(U$74:V$114,B118,V$74:V$114)</f>
        <v>0</v>
      </c>
    </row>
    <row r="120" spans="1:24" x14ac:dyDescent="0.2">
      <c r="B120" t="s">
        <v>43</v>
      </c>
      <c r="C120">
        <f ca="1">+SUMIF(U$74:V$114,B120,V$74:V$114)+SUMIF(V$74:V$114,B120,V$74:V$114)</f>
        <v>0</v>
      </c>
    </row>
    <row r="121" spans="1:24" x14ac:dyDescent="0.2">
      <c r="B121" t="s">
        <v>44</v>
      </c>
      <c r="C121">
        <f ca="1">+SUMIF(U$74:V$114,B121,V$74:V$114)+SUMIF(V$74:V$114,B121,V$74:V$114)</f>
        <v>0</v>
      </c>
    </row>
  </sheetData>
  <autoFilter ref="A25:U114" xr:uid="{FA60F957-9833-44A4-A507-823C8C67CE6B}"/>
  <mergeCells count="97">
    <mergeCell ref="A88:A89"/>
    <mergeCell ref="B88:B89"/>
    <mergeCell ref="C88:C89"/>
    <mergeCell ref="D88:D89"/>
    <mergeCell ref="E88:E89"/>
    <mergeCell ref="F88:F89"/>
    <mergeCell ref="G88:G89"/>
    <mergeCell ref="H88:H89"/>
    <mergeCell ref="J98:J99"/>
    <mergeCell ref="K98:K99"/>
    <mergeCell ref="D98:D99"/>
    <mergeCell ref="I88:I89"/>
    <mergeCell ref="J88:J89"/>
    <mergeCell ref="K88:K89"/>
    <mergeCell ref="F98:F99"/>
    <mergeCell ref="G98:G99"/>
    <mergeCell ref="H98:H99"/>
    <mergeCell ref="I98:I99"/>
    <mergeCell ref="A33:A34"/>
    <mergeCell ref="B33:B34"/>
    <mergeCell ref="B42:B43"/>
    <mergeCell ref="B58:B59"/>
    <mergeCell ref="B71:B72"/>
    <mergeCell ref="F71:F72"/>
    <mergeCell ref="I54:I55"/>
    <mergeCell ref="I58:I59"/>
    <mergeCell ref="I71:I72"/>
    <mergeCell ref="G58:G59"/>
    <mergeCell ref="J58:J59"/>
    <mergeCell ref="H58:H59"/>
    <mergeCell ref="K58:K59"/>
    <mergeCell ref="F58:F59"/>
    <mergeCell ref="F54:F55"/>
    <mergeCell ref="A42:A43"/>
    <mergeCell ref="C42:C43"/>
    <mergeCell ref="D42:D43"/>
    <mergeCell ref="E42:E43"/>
    <mergeCell ref="F42:F43"/>
    <mergeCell ref="A23:A25"/>
    <mergeCell ref="B23:B25"/>
    <mergeCell ref="E23:E24"/>
    <mergeCell ref="I23:I24"/>
    <mergeCell ref="F23:F24"/>
    <mergeCell ref="D20:D25"/>
    <mergeCell ref="A20:C22"/>
    <mergeCell ref="G23:G24"/>
    <mergeCell ref="C23:C25"/>
    <mergeCell ref="J23:J24"/>
    <mergeCell ref="K23:K24"/>
    <mergeCell ref="M23:M25"/>
    <mergeCell ref="H33:H34"/>
    <mergeCell ref="U20:U25"/>
    <mergeCell ref="L20:R22"/>
    <mergeCell ref="F20:K22"/>
    <mergeCell ref="S20:T23"/>
    <mergeCell ref="R23:R24"/>
    <mergeCell ref="H23:H24"/>
    <mergeCell ref="N23:N24"/>
    <mergeCell ref="P23:P24"/>
    <mergeCell ref="O23:O24"/>
    <mergeCell ref="Q23:Q24"/>
    <mergeCell ref="L23:L25"/>
    <mergeCell ref="I33:I34"/>
    <mergeCell ref="B54:B55"/>
    <mergeCell ref="C54:C55"/>
    <mergeCell ref="J33:J34"/>
    <mergeCell ref="K33:K34"/>
    <mergeCell ref="G42:G43"/>
    <mergeCell ref="H42:H43"/>
    <mergeCell ref="I42:I43"/>
    <mergeCell ref="J42:J43"/>
    <mergeCell ref="K42:K43"/>
    <mergeCell ref="C33:C34"/>
    <mergeCell ref="D33:D34"/>
    <mergeCell ref="E33:E34"/>
    <mergeCell ref="F33:F34"/>
    <mergeCell ref="G33:G34"/>
    <mergeCell ref="A98:A99"/>
    <mergeCell ref="C98:C99"/>
    <mergeCell ref="E98:E99"/>
    <mergeCell ref="B98:B99"/>
    <mergeCell ref="K54:K55"/>
    <mergeCell ref="J54:J55"/>
    <mergeCell ref="G54:G55"/>
    <mergeCell ref="H54:H55"/>
    <mergeCell ref="A71:A72"/>
    <mergeCell ref="C71:C72"/>
    <mergeCell ref="E71:E72"/>
    <mergeCell ref="G71:G72"/>
    <mergeCell ref="H71:H72"/>
    <mergeCell ref="J71:J72"/>
    <mergeCell ref="K71:K72"/>
    <mergeCell ref="A58:A59"/>
    <mergeCell ref="C58:C59"/>
    <mergeCell ref="E54:E55"/>
    <mergeCell ref="E58:E59"/>
    <mergeCell ref="A54:A55"/>
  </mergeCells>
  <phoneticPr fontId="1" type="noConversion"/>
  <printOptions horizontalCentered="1"/>
  <pageMargins left="0.39370078740157483" right="0.39370078740157483" top="0.78740157480314965" bottom="0.78740157480314965" header="0.39370078740157483" footer="0.39370078740157483"/>
  <pageSetup paperSize="8" scale="53" fitToHeight="0" orientation="portrait" r:id="rId1"/>
  <headerFooter alignWithMargins="0">
    <oddHeader>&amp;CLISTING DES VENTILO-CONVECTEURS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Summary</vt:lpstr>
      <vt:lpstr>Summary!Impression_des_titres</vt:lpstr>
      <vt:lpstr>Summary</vt:lpstr>
      <vt:lpstr>Summary!Zone_d_impression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AGB-BE</dc:creator>
  <cp:keywords/>
  <dc:description/>
  <cp:lastModifiedBy>AIT BOUDAOUD Hacene</cp:lastModifiedBy>
  <cp:revision/>
  <cp:lastPrinted>2026-08-19T12:10:49Z</cp:lastPrinted>
  <dcterms:created xsi:type="dcterms:W3CDTF">2021-02-01T20:35:53Z</dcterms:created>
  <dcterms:modified xsi:type="dcterms:W3CDTF">2026-08-19T15:27:28Z</dcterms:modified>
  <cp:category/>
  <cp:contentStatus/>
</cp:coreProperties>
</file>