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cene.aitboudaoud\Desktop\"/>
    </mc:Choice>
  </mc:AlternateContent>
  <xr:revisionPtr revIDLastSave="0" documentId="13_ncr:1_{D39B4E29-5AD4-40D0-982C-CF54B438247D}" xr6:coauthVersionLast="47" xr6:coauthVersionMax="47" xr10:uidLastSave="{00000000-0000-0000-0000-000000000000}"/>
  <bookViews>
    <workbookView xWindow="3705" yWindow="1515" windowWidth="38655" windowHeight="19305" xr2:uid="{B9780EC9-4C38-4BD7-A29A-2F64CA2B49F4}"/>
  </bookViews>
  <sheets>
    <sheet name="Cartouche" sheetId="3" r:id="rId1"/>
    <sheet name="Surf Passages Libre" sheetId="1" r:id="rId2"/>
    <sheet name="parametre" sheetId="2" r:id="rId3"/>
  </sheets>
  <definedNames>
    <definedName name="_xlnm.Print_Area" localSheetId="0">Cartouche!$A$1:$N$13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F17" i="1" s="1"/>
  <c r="H17" i="1" s="1"/>
  <c r="E4" i="1"/>
  <c r="D9" i="1"/>
  <c r="F9" i="1" s="1"/>
  <c r="H9" i="1" s="1"/>
  <c r="D11" i="1"/>
  <c r="F11" i="1" s="1"/>
  <c r="H11" i="1" s="1"/>
  <c r="D15" i="1"/>
  <c r="F15" i="1" s="1"/>
  <c r="H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tc={7A408BC4-7A6F-4ED8-A937-53AA37F931B3}</author>
  </authors>
  <commentList>
    <comment ref="Q16" authorId="0" shapeId="0" xr:uid="{7A408BC4-7A6F-4ED8-A937-53AA37F931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de nouvelle IND car IND A non diffusé</t>
      </text>
    </comment>
  </commentList>
</comments>
</file>

<file path=xl/sharedStrings.xml><?xml version="1.0" encoding="utf-8"?>
<sst xmlns="http://schemas.openxmlformats.org/spreadsheetml/2006/main" count="58" uniqueCount="54">
  <si>
    <t>Vitesse v (m/s)</t>
  </si>
  <si>
    <t xml:space="preserve">Aile Alsace - Air neuf CTA </t>
  </si>
  <si>
    <t>50 ALS</t>
  </si>
  <si>
    <t>SU Libre S Qv/v (m2)</t>
  </si>
  <si>
    <t>Débit QV (m3/s)</t>
  </si>
  <si>
    <t xml:space="preserve">Temps (s) </t>
  </si>
  <si>
    <t>Débit AN (m3/h)</t>
  </si>
  <si>
    <t>Aile Alsace - Air réjété CTA</t>
  </si>
  <si>
    <t xml:space="preserve">Aile Lafayette - Air neuf CTA </t>
  </si>
  <si>
    <t xml:space="preserve">Aile Lafayette - Air réjété CTA </t>
  </si>
  <si>
    <t xml:space="preserve">Aile </t>
  </si>
  <si>
    <t>AN</t>
  </si>
  <si>
    <t xml:space="preserve">AR </t>
  </si>
  <si>
    <t>Taux de passage (%)</t>
  </si>
  <si>
    <t xml:space="preserve">taux </t>
  </si>
  <si>
    <t>Taille extérieure de la grille (m2)</t>
  </si>
  <si>
    <t>Perte de Charge (Pa/m)</t>
  </si>
  <si>
    <r>
      <rPr>
        <b/>
        <sz val="11"/>
        <color theme="1"/>
        <rFont val="Aptos Narrow"/>
        <family val="2"/>
        <scheme val="minor"/>
      </rPr>
      <t xml:space="preserve">    Adresse Projet : </t>
    </r>
    <r>
      <rPr>
        <sz val="11"/>
        <color theme="1"/>
        <rFont val="Aptos Narrow"/>
        <family val="2"/>
        <scheme val="minor"/>
      </rPr>
      <t xml:space="preserve">
     50 Rue d’Alsace – 168 rue la Fayette 
     75010 PARIS</t>
    </r>
  </si>
  <si>
    <t xml:space="preserve">           
Entreprise
           VALENTIN
                     12-16 rue Sarah Bernhardt
                     92600 Asnières-sur-Seine
                     Tél : 01.56.05.26.00</t>
  </si>
  <si>
    <t>N° d'affaire :</t>
  </si>
  <si>
    <t>/</t>
  </si>
  <si>
    <t>Date :</t>
  </si>
  <si>
    <t>Echelle :</t>
  </si>
  <si>
    <t>PROJET</t>
  </si>
  <si>
    <t>EMETTEUR</t>
  </si>
  <si>
    <t>PHASE</t>
  </si>
  <si>
    <t>LOT</t>
  </si>
  <si>
    <t>TYPE</t>
  </si>
  <si>
    <t>NIVEAU</t>
  </si>
  <si>
    <t>ZONE</t>
  </si>
  <si>
    <t>N°</t>
  </si>
  <si>
    <t>INDICE</t>
  </si>
  <si>
    <t>50A</t>
  </si>
  <si>
    <t>VAL</t>
  </si>
  <si>
    <t>EXE</t>
  </si>
  <si>
    <t>CVC</t>
  </si>
  <si>
    <t>NDC</t>
  </si>
  <si>
    <t>TN</t>
  </si>
  <si>
    <t>TZ</t>
  </si>
  <si>
    <t>Suivi de Revision</t>
  </si>
  <si>
    <t xml:space="preserve">Ind 0 </t>
  </si>
  <si>
    <t>Premiere version</t>
  </si>
  <si>
    <t>JLA</t>
  </si>
  <si>
    <t>Ind A</t>
  </si>
  <si>
    <t>Modification Coeff Foisonnement sur Noyau</t>
  </si>
  <si>
    <t>XXX</t>
  </si>
  <si>
    <r>
      <t xml:space="preserve">REAHBILITATION D’UN IMMEUBLE TERTIAIRE
------------------------------------------------------
</t>
    </r>
    <r>
      <rPr>
        <sz val="14"/>
        <color theme="1"/>
        <rFont val="Arial"/>
        <family val="2"/>
      </rPr>
      <t>SNCF VOYAGEURS</t>
    </r>
  </si>
  <si>
    <t>15/04/2026</t>
  </si>
  <si>
    <t>Implantation</t>
  </si>
  <si>
    <t>Toiture</t>
  </si>
  <si>
    <t>RDQ</t>
  </si>
  <si>
    <t>⚠️Distance minimale de 8 m à respecter entre l'AN et le rejet</t>
  </si>
  <si>
    <t>Note de calculs pour les surfaces de passages libre</t>
  </si>
  <si>
    <t>Note de Calculs - Surfaces de passages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</si>
</sst>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&quot; m2&quot;"/>
    <numFmt numFmtId="165" formatCode="0.00&quot; m3/s&quot;"/>
    <numFmt numFmtId="166" formatCode="0&quot; s&quot;"/>
    <numFmt numFmtId="167" formatCode="#,##0&quot; m3/h&quot;"/>
    <numFmt numFmtId="168" formatCode="0.0&quot; m/s&quot;"/>
    <numFmt numFmtId="169" formatCode="0.00&quot; %&quot;"/>
    <numFmt numFmtId="170" formatCode="General\ &quot;Pa&quot;"/>
    <numFmt numFmtId="171" formatCode="General\ &quot;m&quot;"/>
  </numFmts>
  <fonts count="12" x14ac:knownFonts="1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51C0B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8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29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1" fillId="0" borderId="33" xfId="0" applyFont="1" applyBorder="1" applyAlignment="1">
      <alignment horizontal="left" vertical="center" indent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8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7" fontId="0" fillId="0" borderId="6" xfId="0" applyNumberFormat="1" applyBorder="1" applyAlignment="1">
      <alignment horizontal="right" vertical="center" indent="1"/>
    </xf>
    <xf numFmtId="166" fontId="0" fillId="0" borderId="6" xfId="0" applyNumberFormat="1" applyBorder="1" applyAlignment="1">
      <alignment horizontal="right" vertical="center" indent="1"/>
    </xf>
    <xf numFmtId="165" fontId="0" fillId="0" borderId="6" xfId="0" applyNumberFormat="1" applyBorder="1" applyAlignment="1">
      <alignment horizontal="right" vertical="center" indent="1"/>
    </xf>
    <xf numFmtId="168" fontId="0" fillId="0" borderId="6" xfId="0" applyNumberFormat="1" applyBorder="1" applyAlignment="1">
      <alignment horizontal="right" vertical="center" indent="1"/>
    </xf>
    <xf numFmtId="164" fontId="0" fillId="0" borderId="4" xfId="0" applyNumberFormat="1" applyBorder="1" applyAlignment="1">
      <alignment horizontal="right" vertical="center" indent="1"/>
    </xf>
    <xf numFmtId="169" fontId="0" fillId="0" borderId="6" xfId="0" applyNumberFormat="1" applyBorder="1" applyAlignment="1">
      <alignment horizontal="right" vertical="center" indent="1"/>
    </xf>
    <xf numFmtId="170" fontId="0" fillId="0" borderId="6" xfId="0" applyNumberFormat="1" applyBorder="1" applyAlignment="1">
      <alignment horizontal="right" vertical="center" indent="1"/>
    </xf>
    <xf numFmtId="3" fontId="0" fillId="0" borderId="7" xfId="0" applyNumberFormat="1" applyBorder="1" applyAlignment="1">
      <alignment horizontal="right" vertical="center" indent="1"/>
    </xf>
    <xf numFmtId="2" fontId="0" fillId="0" borderId="7" xfId="0" applyNumberFormat="1" applyBorder="1" applyAlignment="1">
      <alignment horizontal="right" vertical="center" indent="1"/>
    </xf>
    <xf numFmtId="1" fontId="0" fillId="0" borderId="7" xfId="0" applyNumberFormat="1" applyBorder="1" applyAlignment="1">
      <alignment horizontal="right" vertical="center" indent="1"/>
    </xf>
    <xf numFmtId="2" fontId="0" fillId="0" borderId="5" xfId="0" applyNumberFormat="1" applyBorder="1" applyAlignment="1">
      <alignment horizontal="right" vertical="center" indent="1"/>
    </xf>
    <xf numFmtId="169" fontId="0" fillId="0" borderId="9" xfId="0" applyNumberFormat="1" applyBorder="1" applyAlignment="1">
      <alignment horizontal="right" vertical="center" indent="1"/>
    </xf>
    <xf numFmtId="170" fontId="0" fillId="0" borderId="7" xfId="0" applyNumberFormat="1" applyBorder="1" applyAlignment="1">
      <alignment horizontal="right" vertical="center" indent="1"/>
    </xf>
    <xf numFmtId="170" fontId="0" fillId="0" borderId="11" xfId="0" applyNumberFormat="1" applyBorder="1" applyAlignment="1">
      <alignment horizontal="right" vertical="center" indent="1"/>
    </xf>
    <xf numFmtId="3" fontId="0" fillId="0" borderId="6" xfId="0" applyNumberFormat="1" applyBorder="1" applyAlignment="1">
      <alignment horizontal="right" vertical="center" indent="1"/>
    </xf>
    <xf numFmtId="2" fontId="0" fillId="0" borderId="6" xfId="0" applyNumberFormat="1" applyBorder="1" applyAlignment="1">
      <alignment horizontal="right" vertical="center" indent="1"/>
    </xf>
    <xf numFmtId="1" fontId="0" fillId="0" borderId="6" xfId="0" applyNumberFormat="1" applyBorder="1" applyAlignment="1">
      <alignment horizontal="right" vertical="center" indent="1"/>
    </xf>
    <xf numFmtId="2" fontId="0" fillId="0" borderId="4" xfId="0" applyNumberFormat="1" applyBorder="1" applyAlignment="1">
      <alignment horizontal="right" vertical="center" indent="1"/>
    </xf>
    <xf numFmtId="169" fontId="0" fillId="0" borderId="4" xfId="0" applyNumberFormat="1" applyBorder="1" applyAlignment="1">
      <alignment horizontal="right" vertical="center" indent="1"/>
    </xf>
    <xf numFmtId="167" fontId="0" fillId="0" borderId="7" xfId="0" applyNumberFormat="1" applyBorder="1" applyAlignment="1">
      <alignment horizontal="right" vertical="center" indent="1"/>
    </xf>
    <xf numFmtId="166" fontId="0" fillId="0" borderId="7" xfId="0" applyNumberFormat="1" applyBorder="1" applyAlignment="1">
      <alignment horizontal="right" vertical="center" indent="1"/>
    </xf>
    <xf numFmtId="165" fontId="0" fillId="0" borderId="7" xfId="0" applyNumberFormat="1" applyBorder="1" applyAlignment="1">
      <alignment horizontal="right" vertical="center" indent="1"/>
    </xf>
    <xf numFmtId="168" fontId="0" fillId="0" borderId="7" xfId="0" applyNumberFormat="1" applyBorder="1" applyAlignment="1">
      <alignment horizontal="right" vertical="center" indent="1"/>
    </xf>
    <xf numFmtId="164" fontId="0" fillId="0" borderId="7" xfId="0" applyNumberFormat="1" applyBorder="1" applyAlignment="1">
      <alignment horizontal="right" vertical="center" indent="1"/>
    </xf>
    <xf numFmtId="169" fontId="0" fillId="0" borderId="7" xfId="0" applyNumberFormat="1" applyBorder="1" applyAlignment="1">
      <alignment horizontal="right" vertical="center" indent="1"/>
    </xf>
    <xf numFmtId="164" fontId="0" fillId="0" borderId="8" xfId="0" applyNumberFormat="1" applyBorder="1" applyAlignment="1">
      <alignment horizontal="right" vertical="center" inden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0" fillId="0" borderId="6" xfId="0" applyBorder="1" applyAlignment="1">
      <alignment horizontal="right" vertical="center" indent="1"/>
    </xf>
    <xf numFmtId="0" fontId="0" fillId="0" borderId="11" xfId="0" applyBorder="1" applyAlignment="1">
      <alignment horizontal="right" vertical="center" indent="1"/>
    </xf>
    <xf numFmtId="0" fontId="0" fillId="0" borderId="7" xfId="0" applyBorder="1" applyAlignment="1">
      <alignment horizontal="right" vertical="center" indent="1"/>
    </xf>
    <xf numFmtId="0" fontId="0" fillId="3" borderId="7" xfId="0" applyFill="1" applyBorder="1" applyAlignment="1">
      <alignment horizontal="left" indent="2"/>
    </xf>
    <xf numFmtId="3" fontId="0" fillId="3" borderId="7" xfId="0" applyNumberFormat="1" applyFill="1" applyBorder="1" applyAlignment="1">
      <alignment horizontal="right" vertical="center" indent="1"/>
    </xf>
    <xf numFmtId="2" fontId="0" fillId="3" borderId="7" xfId="0" applyNumberFormat="1" applyFill="1" applyBorder="1" applyAlignment="1">
      <alignment horizontal="right" vertical="center" indent="1"/>
    </xf>
    <xf numFmtId="1" fontId="0" fillId="3" borderId="7" xfId="0" applyNumberFormat="1" applyFill="1" applyBorder="1" applyAlignment="1">
      <alignment horizontal="right" vertical="center" indent="1"/>
    </xf>
    <xf numFmtId="2" fontId="0" fillId="3" borderId="5" xfId="0" applyNumberFormat="1" applyFill="1" applyBorder="1" applyAlignment="1">
      <alignment horizontal="right" vertical="center" indent="1"/>
    </xf>
    <xf numFmtId="169" fontId="0" fillId="3" borderId="4" xfId="0" applyNumberFormat="1" applyFill="1" applyBorder="1" applyAlignment="1">
      <alignment horizontal="right" vertical="center" indent="1"/>
    </xf>
    <xf numFmtId="170" fontId="0" fillId="3" borderId="10" xfId="0" applyNumberFormat="1" applyFill="1" applyBorder="1" applyAlignment="1">
      <alignment horizontal="right" vertical="center" indent="1"/>
    </xf>
    <xf numFmtId="171" fontId="0" fillId="0" borderId="11" xfId="0" applyNumberFormat="1" applyBorder="1" applyAlignment="1">
      <alignment horizontal="right" vertical="center" indent="1"/>
    </xf>
    <xf numFmtId="0" fontId="0" fillId="0" borderId="16" xfId="0" applyBorder="1" applyAlignment="1">
      <alignment horizontal="left" vertical="top"/>
    </xf>
    <xf numFmtId="0" fontId="6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 vertical="top" wrapText="1"/>
    </xf>
    <xf numFmtId="0" fontId="0" fillId="0" borderId="18" xfId="0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right" vertical="center" indent="1"/>
    </xf>
  </cellXfs>
  <cellStyles count="1">
    <cellStyle name="Normal" xfId="0" builtinId="0"/>
  </cellStyles>
  <dxfs count="14">
    <dxf>
      <alignment horizontal="right" vertical="center" textRotation="0" wrapText="0" indent="1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right" vertical="center" textRotation="0" wrapText="0" indent="1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4" formatCode="0.00&quot; m2&quot;"/>
      <alignment horizontal="right" vertical="center" textRotation="0" wrapText="0" indent="1" justifyLastLine="0" shrinkToFit="0" readingOrder="0"/>
    </dxf>
    <dxf>
      <alignment horizontal="right" vertical="center" textRotation="0" wrapText="0" indent="1" justifyLastLine="0" shrinkToFit="0" readingOrder="0"/>
    </dxf>
    <dxf>
      <numFmt numFmtId="2" formatCode="0.00"/>
      <alignment horizontal="right" vertical="center" textRotation="0" wrapText="0" indent="1" justifyLastLine="0" shrinkToFit="0" readingOrder="0"/>
      <border outline="0">
        <left style="medium">
          <color indexed="64"/>
        </left>
      </border>
    </dxf>
    <dxf>
      <numFmt numFmtId="1" formatCode="0"/>
      <alignment horizontal="right" vertical="center" textRotation="0" wrapText="0" indent="1" justifyLastLine="0" shrinkToFit="0" readingOrder="0"/>
      <border diagonalUp="0" diagonalDown="0" outline="0">
        <left style="medium">
          <color indexed="64"/>
        </left>
        <right/>
      </border>
    </dxf>
    <dxf>
      <numFmt numFmtId="2" formatCode="0.00"/>
      <alignment horizontal="right" vertical="center" textRotation="0" wrapText="0" indent="1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numFmt numFmtId="3" formatCode="#,##0"/>
      <alignment horizontal="right" vertical="center" textRotation="0" wrapText="0" indent="1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numFmt numFmtId="3" formatCode="#,##0"/>
      <alignment horizontal="right" vertical="center" textRotation="0" wrapText="0" indent="1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alignment horizontal="right" vertical="center" textRotation="0" wrapText="0" 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51C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706764</xdr:colOff>
      <xdr:row>5</xdr:row>
      <xdr:rowOff>117235</xdr:rowOff>
    </xdr:from>
    <xdr:to>
      <xdr:col>12</xdr:col>
      <xdr:colOff>358193</xdr:colOff>
      <xdr:row>6</xdr:row>
      <xdr:rowOff>174783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CA9AD2F-A8D4-44F2-B4E6-288E66683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8289" y="7899160"/>
          <a:ext cx="1423079" cy="533798"/>
        </a:xfrm>
        <a:prstGeom prst="rect">
          <a:avLst/>
        </a:prstGeom>
      </xdr:spPr>
    </xdr:pic>
    <xdr:clientData/>
  </xdr:twoCellAnchor>
  <xdr:twoCellAnchor editAs="oneCell">
    <xdr:from>
      <xdr:col>2</xdr:col>
      <xdr:colOff>342899</xdr:colOff>
      <xdr:row>2</xdr:row>
      <xdr:rowOff>95249</xdr:rowOff>
    </xdr:from>
    <xdr:to>
      <xdr:col>6</xdr:col>
      <xdr:colOff>37676</xdr:colOff>
      <xdr:row>2</xdr:row>
      <xdr:rowOff>2028824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857684E-5478-442F-A77A-7D349737B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1543049"/>
          <a:ext cx="2628477" cy="193357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3</xdr:row>
      <xdr:rowOff>66675</xdr:rowOff>
    </xdr:from>
    <xdr:to>
      <xdr:col>12</xdr:col>
      <xdr:colOff>1</xdr:colOff>
      <xdr:row>4</xdr:row>
      <xdr:rowOff>2059106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B45E061-2317-48F5-B50D-460FB5E5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676650"/>
          <a:ext cx="5572126" cy="3449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0</xdr:col>
      <xdr:colOff>3190875</xdr:colOff>
      <xdr:row>1</xdr:row>
      <xdr:rowOff>38100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486C716C-38FE-0765-35BE-26E981BD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18" b="15974"/>
        <a:stretch>
          <a:fillRect/>
        </a:stretch>
      </xdr:blipFill>
      <xdr:spPr bwMode="auto">
        <a:xfrm>
          <a:off x="0" y="9525"/>
          <a:ext cx="3190875" cy="1089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MBERT Jacky" id="{FC9381C6-FA31-4950-967A-33281A760961}" userId="S::jacky.lambert@vinci-energies.net::71873eef-c863-43d9-94b4-d137f16ed7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D217EB-D070-4893-90C5-52E1B7E7037A}" name="Tableau5" displayName="Tableau5" ref="A8:A17" totalsRowShown="0" headerRowDxfId="13" dataDxfId="12">
  <autoFilter ref="A8:A17" xr:uid="{A1D217EB-D070-4893-90C5-52E1B7E7037A}"/>
  <tableColumns count="1">
    <tableColumn id="1" xr3:uid="{3BBC3A8F-B8ED-475B-A845-57A680D6F2A0}" name="Aile 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D8067C-5B58-4A28-852D-B83363DA2479}" name="Tableau8" displayName="Tableau8" ref="B8:J17" insertRowShift="1" totalsRowShown="0" headerRowDxfId="10" dataDxfId="9">
  <autoFilter ref="B8:J17" xr:uid="{E5D8067C-5B58-4A28-852D-B83363DA2479}"/>
  <tableColumns count="9">
    <tableColumn id="1" xr3:uid="{CA28FCFB-2E92-4208-97BA-4908F235B03D}" name="Débit AN (m3/h)" dataDxfId="8"/>
    <tableColumn id="2" xr3:uid="{80717C6E-C617-46CF-BCF5-8CF637C79CDC}" name="Temps (s) " dataDxfId="7"/>
    <tableColumn id="3" xr3:uid="{8E7DC9C3-8E3A-4A2A-BCB2-951C8BBC8A9E}" name="Débit QV (m3/s)" dataDxfId="6">
      <calculatedColumnFormula>B9/C9</calculatedColumnFormula>
    </tableColumn>
    <tableColumn id="4" xr3:uid="{68C2C81A-2D27-4B26-A584-1F1AB1E1C3B4}" name="Vitesse v (m/s)" dataDxfId="5"/>
    <tableColumn id="5" xr3:uid="{ABC2EFAF-5531-483F-96D8-05094404C337}" name="SU Libre S Qv/v (m2)" dataDxfId="4">
      <calculatedColumnFormula>D9/E9</calculatedColumnFormula>
    </tableColumn>
    <tableColumn id="6" xr3:uid="{E19F7055-FB73-41B6-A6A0-33239271B778}" name="Taux de passage (%)" dataDxfId="3"/>
    <tableColumn id="7" xr3:uid="{D8C947B3-D721-4311-ABA6-DA35B91BCF67}" name="Taille extérieure de la grille (m2)" dataDxfId="2">
      <calculatedColumnFormula>Tableau8[[#This Row],[SU Libre S Qv/v (m2)]]/Tableau8[[#This Row],[Taux de passage (%)]]</calculatedColumnFormula>
    </tableColumn>
    <tableColumn id="8" xr3:uid="{A3270825-D645-49B4-A831-AD92023996C9}" name="Perte de Charge (Pa/m)" dataDxfId="1"/>
    <tableColumn id="9" xr3:uid="{73AEB8C5-EDA3-4578-B00C-0A8D0CAD2571}" name="Implan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6" dT="2025-01-06T09:41:48.10" personId="{FC9381C6-FA31-4950-967A-33281A760961}" id="{7A408BC4-7A6F-4ED8-A937-53AA37F931B3}">
    <text>Pas de nouvelle IND car IND A non diffusé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E8CD-B144-4656-8943-DA1DB0D1D23E}">
  <sheetPr>
    <pageSetUpPr fitToPage="1"/>
  </sheetPr>
  <dimension ref="A1:W20"/>
  <sheetViews>
    <sheetView tabSelected="1" view="pageBreakPreview" topLeftCell="B2" zoomScale="130" zoomScaleNormal="100" zoomScaleSheetLayoutView="130" workbookViewId="0">
      <selection activeCell="C6" sqref="C6:H8"/>
    </sheetView>
  </sheetViews>
  <sheetFormatPr baseColWidth="10" defaultRowHeight="15" x14ac:dyDescent="0.25"/>
  <cols>
    <col min="1" max="1" width="2.28515625" hidden="1" customWidth="1"/>
    <col min="2" max="2" width="2.7109375" customWidth="1"/>
    <col min="3" max="9" width="11" customWidth="1"/>
    <col min="10" max="10" width="1.140625" customWidth="1"/>
    <col min="11" max="11" width="13.28515625" customWidth="1"/>
    <col min="12" max="12" width="1.140625" customWidth="1"/>
    <col min="13" max="13" width="7.7109375" customWidth="1"/>
    <col min="14" max="14" width="2.7109375" customWidth="1"/>
  </cols>
  <sheetData>
    <row r="1" spans="2:23" ht="12.6" hidden="1" customHeight="1" thickBot="1" x14ac:dyDescent="0.3"/>
    <row r="2" spans="2:23" ht="114" customHeight="1" thickTop="1" x14ac:dyDescent="0.25">
      <c r="B2" s="4"/>
      <c r="C2" s="90" t="s">
        <v>46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5"/>
    </row>
    <row r="3" spans="2:23" ht="170.45" customHeight="1" x14ac:dyDescent="0.25">
      <c r="B3" s="6"/>
      <c r="C3" s="92"/>
      <c r="D3" s="93"/>
      <c r="E3" s="93"/>
      <c r="F3" s="93"/>
      <c r="G3" s="93"/>
      <c r="H3" s="93"/>
      <c r="I3" s="94" t="s">
        <v>17</v>
      </c>
      <c r="J3" s="95"/>
      <c r="K3" s="95"/>
      <c r="L3" s="95"/>
      <c r="M3" s="95"/>
      <c r="N3" s="7"/>
    </row>
    <row r="4" spans="2:23" ht="115.15" customHeight="1" x14ac:dyDescent="0.25">
      <c r="B4" s="6"/>
      <c r="C4" s="96"/>
      <c r="D4" s="97"/>
      <c r="E4" s="97"/>
      <c r="F4" s="96"/>
      <c r="G4" s="97"/>
      <c r="H4" s="97"/>
      <c r="I4" s="96"/>
      <c r="J4" s="97"/>
      <c r="K4" s="97"/>
      <c r="L4" s="97"/>
      <c r="M4" s="97"/>
      <c r="N4" s="7"/>
    </row>
    <row r="5" spans="2:23" ht="214.15" customHeight="1" x14ac:dyDescent="0.25">
      <c r="B5" s="6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"/>
    </row>
    <row r="6" spans="2:23" ht="37.9" customHeight="1" x14ac:dyDescent="0.25">
      <c r="B6" s="6"/>
      <c r="C6" s="73" t="s">
        <v>53</v>
      </c>
      <c r="D6" s="74"/>
      <c r="E6" s="74"/>
      <c r="F6" s="74"/>
      <c r="G6" s="74"/>
      <c r="H6" s="74"/>
      <c r="I6" s="79" t="s">
        <v>18</v>
      </c>
      <c r="J6" s="80"/>
      <c r="K6" s="80"/>
      <c r="L6" s="80"/>
      <c r="M6" s="81"/>
      <c r="N6" s="7"/>
    </row>
    <row r="7" spans="2:23" ht="37.9" customHeight="1" x14ac:dyDescent="0.25">
      <c r="B7" s="6"/>
      <c r="C7" s="75"/>
      <c r="D7" s="76"/>
      <c r="E7" s="76"/>
      <c r="F7" s="76"/>
      <c r="G7" s="76"/>
      <c r="H7" s="76"/>
      <c r="I7" s="82"/>
      <c r="J7" s="82"/>
      <c r="K7" s="82"/>
      <c r="L7" s="82"/>
      <c r="M7" s="83"/>
      <c r="N7" s="7"/>
    </row>
    <row r="8" spans="2:23" ht="37.9" customHeight="1" x14ac:dyDescent="0.25">
      <c r="B8" s="6"/>
      <c r="C8" s="77"/>
      <c r="D8" s="78"/>
      <c r="E8" s="78"/>
      <c r="F8" s="78"/>
      <c r="G8" s="78"/>
      <c r="H8" s="78"/>
      <c r="I8" s="84"/>
      <c r="J8" s="84"/>
      <c r="K8" s="84"/>
      <c r="L8" s="84"/>
      <c r="M8" s="85"/>
      <c r="N8" s="7"/>
    </row>
    <row r="9" spans="2:23" s="12" customFormat="1" ht="22.15" customHeight="1" x14ac:dyDescent="0.25">
      <c r="B9" s="8"/>
      <c r="C9" s="9" t="s">
        <v>19</v>
      </c>
      <c r="D9" s="86" t="s">
        <v>20</v>
      </c>
      <c r="E9" s="87"/>
      <c r="F9" s="10" t="s">
        <v>21</v>
      </c>
      <c r="G9" s="88" t="s">
        <v>47</v>
      </c>
      <c r="H9" s="89"/>
      <c r="I9" s="10" t="s">
        <v>22</v>
      </c>
      <c r="J9" s="86" t="s">
        <v>20</v>
      </c>
      <c r="K9" s="86"/>
      <c r="L9" s="86"/>
      <c r="M9" s="86"/>
      <c r="N9" s="11"/>
    </row>
    <row r="10" spans="2:23" ht="9" customHeight="1" x14ac:dyDescent="0.25">
      <c r="B10" s="6"/>
      <c r="N10" s="7"/>
    </row>
    <row r="11" spans="2:23" ht="14.45" customHeight="1" x14ac:dyDescent="0.25">
      <c r="B11" s="6"/>
      <c r="C11" s="13" t="s">
        <v>23</v>
      </c>
      <c r="D11" s="13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4"/>
      <c r="K11" s="13" t="s">
        <v>30</v>
      </c>
      <c r="L11" s="15"/>
      <c r="M11" s="13" t="s">
        <v>31</v>
      </c>
      <c r="N11" s="7"/>
    </row>
    <row r="12" spans="2:23" ht="28.9" customHeight="1" x14ac:dyDescent="0.25">
      <c r="B12" s="6"/>
      <c r="C12" s="16" t="s">
        <v>32</v>
      </c>
      <c r="D12" s="16" t="s">
        <v>33</v>
      </c>
      <c r="E12" s="16" t="s">
        <v>34</v>
      </c>
      <c r="F12" s="16" t="s">
        <v>35</v>
      </c>
      <c r="G12" s="16" t="s">
        <v>36</v>
      </c>
      <c r="H12" s="16" t="s">
        <v>37</v>
      </c>
      <c r="I12" s="16" t="s">
        <v>38</v>
      </c>
      <c r="J12" s="17"/>
      <c r="K12" s="16" t="s">
        <v>45</v>
      </c>
      <c r="L12" s="17"/>
      <c r="M12" s="16">
        <v>0</v>
      </c>
      <c r="N12" s="7"/>
    </row>
    <row r="13" spans="2:23" ht="13.9" customHeight="1" thickBot="1" x14ac:dyDescent="0.3"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2:23" ht="20.25" thickTop="1" thickBot="1" x14ac:dyDescent="0.3">
      <c r="Q14" s="21" t="s">
        <v>39</v>
      </c>
      <c r="R14" s="22"/>
      <c r="S14" s="22"/>
      <c r="T14" s="22"/>
      <c r="U14" s="22"/>
      <c r="V14" s="22"/>
      <c r="W14" s="23"/>
    </row>
    <row r="15" spans="2:23" x14ac:dyDescent="0.25">
      <c r="Q15" s="24" t="s">
        <v>40</v>
      </c>
      <c r="R15" s="25" t="s">
        <v>41</v>
      </c>
      <c r="S15" s="25"/>
      <c r="T15" s="25"/>
      <c r="U15" s="25"/>
      <c r="V15" s="25"/>
      <c r="W15" s="26" t="s">
        <v>42</v>
      </c>
    </row>
    <row r="16" spans="2:23" x14ac:dyDescent="0.25">
      <c r="Q16" s="24" t="s">
        <v>43</v>
      </c>
      <c r="R16" s="25" t="s">
        <v>44</v>
      </c>
      <c r="S16" s="25"/>
      <c r="T16" s="25"/>
      <c r="U16" s="25"/>
      <c r="V16" s="25"/>
      <c r="W16" s="26" t="s">
        <v>42</v>
      </c>
    </row>
    <row r="17" spans="17:23" x14ac:dyDescent="0.25">
      <c r="Q17" s="24"/>
      <c r="R17" s="25"/>
      <c r="S17" s="25"/>
      <c r="T17" s="25"/>
      <c r="U17" s="25"/>
      <c r="V17" s="25"/>
      <c r="W17" s="26"/>
    </row>
    <row r="18" spans="17:23" x14ac:dyDescent="0.25">
      <c r="Q18" s="24"/>
      <c r="R18" s="25"/>
      <c r="S18" s="25"/>
      <c r="T18" s="25"/>
      <c r="U18" s="25"/>
      <c r="V18" s="25"/>
      <c r="W18" s="26"/>
    </row>
    <row r="19" spans="17:23" x14ac:dyDescent="0.25">
      <c r="Q19" s="24"/>
      <c r="R19" s="25"/>
      <c r="S19" s="25"/>
      <c r="T19" s="25"/>
      <c r="U19" s="25"/>
      <c r="V19" s="25"/>
      <c r="W19" s="26"/>
    </row>
    <row r="20" spans="17:23" ht="15.75" thickBot="1" x14ac:dyDescent="0.3">
      <c r="Q20" s="27"/>
      <c r="R20" s="28"/>
      <c r="S20" s="28"/>
      <c r="T20" s="28"/>
      <c r="U20" s="28"/>
      <c r="V20" s="28"/>
      <c r="W20" s="29"/>
    </row>
  </sheetData>
  <mergeCells count="14">
    <mergeCell ref="D9:E9"/>
    <mergeCell ref="G9:H9"/>
    <mergeCell ref="J9:M9"/>
    <mergeCell ref="C2:M2"/>
    <mergeCell ref="C3:H3"/>
    <mergeCell ref="I3:M3"/>
    <mergeCell ref="C4:E4"/>
    <mergeCell ref="F4:H4"/>
    <mergeCell ref="I4:M4"/>
    <mergeCell ref="C5:E5"/>
    <mergeCell ref="F5:H5"/>
    <mergeCell ref="I5:M5"/>
    <mergeCell ref="C6:H8"/>
    <mergeCell ref="I6:M8"/>
  </mergeCells>
  <printOptions horizontalCentered="1" verticalCentered="1"/>
  <pageMargins left="0.25" right="0.25" top="0.75" bottom="0.75" header="0.3" footer="0.3"/>
  <pageSetup paperSize="9" scale="8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C3C0-A9AE-46BB-9F96-6837AD4F2442}">
  <sheetPr>
    <pageSetUpPr fitToPage="1"/>
  </sheetPr>
  <dimension ref="A1:L26"/>
  <sheetViews>
    <sheetView zoomScale="115" zoomScaleNormal="115" workbookViewId="0">
      <selection activeCell="A36" sqref="A36"/>
    </sheetView>
  </sheetViews>
  <sheetFormatPr baseColWidth="10" defaultRowHeight="15" x14ac:dyDescent="0.25"/>
  <cols>
    <col min="1" max="1" width="49.85546875" customWidth="1"/>
    <col min="2" max="2" width="22" customWidth="1"/>
    <col min="3" max="10" width="17.7109375" customWidth="1"/>
  </cols>
  <sheetData>
    <row r="1" spans="1:10" ht="84" customHeight="1" x14ac:dyDescent="0.25"/>
    <row r="2" spans="1:10" ht="33.75" customHeight="1" x14ac:dyDescent="0.25"/>
    <row r="3" spans="1:10" x14ac:dyDescent="0.25">
      <c r="A3" s="1"/>
      <c r="B3" s="1"/>
      <c r="C3" s="2"/>
      <c r="D3" s="2"/>
      <c r="E3" s="2"/>
      <c r="F3" s="2"/>
    </row>
    <row r="4" spans="1:10" ht="15.75" x14ac:dyDescent="0.25">
      <c r="A4" s="100" t="s">
        <v>52</v>
      </c>
      <c r="B4" s="101"/>
      <c r="C4" s="100" t="s">
        <v>2</v>
      </c>
      <c r="D4" s="101"/>
      <c r="E4" s="102">
        <f ca="1">NOW()</f>
        <v>46127.441266203707</v>
      </c>
      <c r="F4" s="103"/>
    </row>
    <row r="7" spans="1:10" ht="15.75" thickBot="1" x14ac:dyDescent="0.3"/>
    <row r="8" spans="1:10" ht="30.75" thickBot="1" x14ac:dyDescent="0.3">
      <c r="A8" s="58" t="s">
        <v>10</v>
      </c>
      <c r="B8" s="30" t="s">
        <v>6</v>
      </c>
      <c r="C8" s="30" t="s">
        <v>5</v>
      </c>
      <c r="D8" s="30" t="s">
        <v>4</v>
      </c>
      <c r="E8" s="30" t="s">
        <v>0</v>
      </c>
      <c r="F8" s="31" t="s">
        <v>3</v>
      </c>
      <c r="G8" s="30" t="s">
        <v>13</v>
      </c>
      <c r="H8" s="30" t="s">
        <v>15</v>
      </c>
      <c r="I8" s="30" t="s">
        <v>16</v>
      </c>
      <c r="J8" s="30" t="s">
        <v>48</v>
      </c>
    </row>
    <row r="9" spans="1:10" x14ac:dyDescent="0.25">
      <c r="A9" s="59" t="s">
        <v>1</v>
      </c>
      <c r="B9" s="32">
        <v>9429</v>
      </c>
      <c r="C9" s="33">
        <v>3600</v>
      </c>
      <c r="D9" s="34">
        <f>B9/C9</f>
        <v>2.6191666666666666</v>
      </c>
      <c r="E9" s="35">
        <v>2.5</v>
      </c>
      <c r="F9" s="36">
        <f>D9/E9</f>
        <v>1.0476666666666667</v>
      </c>
      <c r="G9" s="37">
        <v>0.6</v>
      </c>
      <c r="H9" s="36">
        <f>Tableau8[[#This Row],[SU Libre S Qv/v (m2)]]/Tableau8[[#This Row],[Taux de passage (%)]]</f>
        <v>1.7461111111111114</v>
      </c>
      <c r="I9" s="38">
        <v>30</v>
      </c>
      <c r="J9" s="61" t="s">
        <v>49</v>
      </c>
    </row>
    <row r="10" spans="1:10" ht="15.75" thickBot="1" x14ac:dyDescent="0.3">
      <c r="A10" s="60"/>
      <c r="B10" s="39"/>
      <c r="C10" s="39"/>
      <c r="D10" s="40"/>
      <c r="E10" s="41"/>
      <c r="F10" s="42"/>
      <c r="G10" s="43"/>
      <c r="H10" s="42"/>
      <c r="I10" s="44"/>
      <c r="J10" s="71">
        <v>8</v>
      </c>
    </row>
    <row r="11" spans="1:10" x14ac:dyDescent="0.25">
      <c r="A11" s="59" t="s">
        <v>7</v>
      </c>
      <c r="B11" s="32">
        <v>7704</v>
      </c>
      <c r="C11" s="33">
        <v>3600</v>
      </c>
      <c r="D11" s="34">
        <f>B11/C11</f>
        <v>2.14</v>
      </c>
      <c r="E11" s="35">
        <v>2.5</v>
      </c>
      <c r="F11" s="36">
        <f>D11/E11</f>
        <v>0.85600000000000009</v>
      </c>
      <c r="G11" s="37">
        <v>0.6</v>
      </c>
      <c r="H11" s="36">
        <f>Tableau8[[#This Row],[SU Libre S Qv/v (m2)]]/Tableau8[[#This Row],[Taux de passage (%)]]</f>
        <v>1.426666666666667</v>
      </c>
      <c r="I11" s="45">
        <v>30</v>
      </c>
      <c r="J11" s="62" t="s">
        <v>49</v>
      </c>
    </row>
    <row r="12" spans="1:10" ht="15.75" thickBot="1" x14ac:dyDescent="0.3">
      <c r="A12" s="60"/>
      <c r="B12" s="39"/>
      <c r="C12" s="39"/>
      <c r="D12" s="40"/>
      <c r="E12" s="41"/>
      <c r="F12" s="42"/>
      <c r="G12" s="43"/>
      <c r="H12" s="42"/>
      <c r="I12" s="44"/>
      <c r="J12" s="63"/>
    </row>
    <row r="13" spans="1:10" ht="3" customHeight="1" thickBot="1" x14ac:dyDescent="0.3">
      <c r="A13" s="64"/>
      <c r="B13" s="65"/>
      <c r="C13" s="65"/>
      <c r="D13" s="66"/>
      <c r="E13" s="67"/>
      <c r="F13" s="68"/>
      <c r="G13" s="69"/>
      <c r="H13" s="68"/>
      <c r="I13" s="70"/>
      <c r="J13" s="104"/>
    </row>
    <row r="14" spans="1:10" x14ac:dyDescent="0.25">
      <c r="A14" s="59"/>
      <c r="B14" s="46"/>
      <c r="C14" s="46"/>
      <c r="D14" s="47"/>
      <c r="E14" s="48"/>
      <c r="F14" s="49"/>
      <c r="G14" s="50"/>
      <c r="H14" s="49"/>
      <c r="I14" s="45"/>
      <c r="J14" s="62"/>
    </row>
    <row r="15" spans="1:10" ht="15.75" thickBot="1" x14ac:dyDescent="0.3">
      <c r="A15" s="60" t="s">
        <v>8</v>
      </c>
      <c r="B15" s="51">
        <v>12340</v>
      </c>
      <c r="C15" s="52">
        <v>3600</v>
      </c>
      <c r="D15" s="53">
        <f>B15/C15</f>
        <v>3.4277777777777776</v>
      </c>
      <c r="E15" s="54">
        <v>2.5</v>
      </c>
      <c r="F15" s="55">
        <f>D15/E15</f>
        <v>1.3711111111111109</v>
      </c>
      <c r="G15" s="56">
        <v>0.6</v>
      </c>
      <c r="H15" s="57">
        <f>Tableau8[[#This Row],[SU Libre S Qv/v (m2)]]/Tableau8[[#This Row],[Taux de passage (%)]]</f>
        <v>2.2851851851851852</v>
      </c>
      <c r="I15" s="44">
        <v>30</v>
      </c>
      <c r="J15" s="62" t="s">
        <v>50</v>
      </c>
    </row>
    <row r="16" spans="1:10" x14ac:dyDescent="0.25">
      <c r="A16" s="59"/>
      <c r="B16" s="46"/>
      <c r="C16" s="46"/>
      <c r="D16" s="47"/>
      <c r="E16" s="48"/>
      <c r="F16" s="49"/>
      <c r="G16" s="50"/>
      <c r="H16" s="49"/>
      <c r="I16" s="45"/>
      <c r="J16" s="71">
        <v>8</v>
      </c>
    </row>
    <row r="17" spans="1:12" ht="15.75" thickBot="1" x14ac:dyDescent="0.3">
      <c r="A17" s="60" t="s">
        <v>9</v>
      </c>
      <c r="B17" s="51">
        <v>10930</v>
      </c>
      <c r="C17" s="52">
        <v>3600</v>
      </c>
      <c r="D17" s="53">
        <f>B17/C17</f>
        <v>3.036111111111111</v>
      </c>
      <c r="E17" s="54">
        <v>2.5</v>
      </c>
      <c r="F17" s="55">
        <f>D17/E17</f>
        <v>1.2144444444444444</v>
      </c>
      <c r="G17" s="56">
        <v>0.6</v>
      </c>
      <c r="H17" s="55">
        <f>Tableau8[[#This Row],[SU Libre S Qv/v (m2)]]/Tableau8[[#This Row],[Taux de passage (%)]]</f>
        <v>2.0240740740740741</v>
      </c>
      <c r="I17" s="44">
        <v>30</v>
      </c>
      <c r="J17" s="44" t="s">
        <v>49</v>
      </c>
    </row>
    <row r="21" spans="1:12" ht="15.75" x14ac:dyDescent="0.25">
      <c r="A21" s="98" t="s">
        <v>51</v>
      </c>
      <c r="B21" s="99"/>
    </row>
    <row r="24" spans="1:12" x14ac:dyDescent="0.25">
      <c r="J24" s="3"/>
    </row>
    <row r="26" spans="1:12" x14ac:dyDescent="0.25">
      <c r="L26" s="3"/>
    </row>
  </sheetData>
  <mergeCells count="4">
    <mergeCell ref="A21:B21"/>
    <mergeCell ref="A4:B4"/>
    <mergeCell ref="C4:D4"/>
    <mergeCell ref="E4:F4"/>
  </mergeCells>
  <phoneticPr fontId="3" type="noConversion"/>
  <conditionalFormatting sqref="I9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I9:I17 J17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J10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J1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035007-93B4-41F6-AD7E-E2ADF41432D9}">
          <x14:formula1>
            <xm:f>parametre!$B$4:$B$5</xm:f>
          </x14:formula1>
          <xm:sqref>E9 E15</xm:sqref>
        </x14:dataValidation>
        <x14:dataValidation type="list" allowBlank="1" showInputMessage="1" showErrorMessage="1" xr:uid="{BE5D3193-7EE9-4D94-9880-F632206C4C3B}">
          <x14:formula1>
            <xm:f>parametre!$C$4:$C$5</xm:f>
          </x14:formula1>
          <xm:sqref>E11 E17</xm:sqref>
        </x14:dataValidation>
        <x14:dataValidation type="list" allowBlank="1" showInputMessage="1" showErrorMessage="1" xr:uid="{61F87CF6-7724-4C32-A615-258FD066EBF3}">
          <x14:formula1>
            <xm:f>parametre!$E$4:$E$5</xm:f>
          </x14:formula1>
          <xm:sqref>G17 G9 G11 G15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DEBE-7C54-4D9B-A2D0-9484A0D2A808}">
  <dimension ref="B3:E5"/>
  <sheetViews>
    <sheetView workbookViewId="0">
      <selection activeCell="F6" sqref="F6"/>
    </sheetView>
  </sheetViews>
  <sheetFormatPr baseColWidth="10" defaultRowHeight="15" x14ac:dyDescent="0.25"/>
  <sheetData>
    <row r="3" spans="2:5" x14ac:dyDescent="0.25">
      <c r="B3" t="s">
        <v>11</v>
      </c>
      <c r="C3" t="s">
        <v>12</v>
      </c>
      <c r="E3" t="s">
        <v>14</v>
      </c>
    </row>
    <row r="4" spans="2:5" x14ac:dyDescent="0.25">
      <c r="B4">
        <v>2.5</v>
      </c>
      <c r="C4">
        <v>2.5</v>
      </c>
      <c r="E4">
        <v>0.45</v>
      </c>
    </row>
    <row r="5" spans="2:5" x14ac:dyDescent="0.25">
      <c r="B5">
        <v>2</v>
      </c>
      <c r="C5">
        <v>4</v>
      </c>
      <c r="E5">
        <v>0.6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8DA99-2B79-4F43-86C8-9D7C9EAC3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Surf Passages Libre</vt:lpstr>
      <vt:lpstr>parametre</vt:lpstr>
      <vt:lpstr>Cartouche!Zone_d_impression</vt:lpstr>
    </vt:vector>
  </TitlesOfParts>
  <Company>VINCI Energies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BOUDAOUD Hacene</dc:creator>
  <cp:lastModifiedBy>AIT BOUDAOUD Hacene</cp:lastModifiedBy>
  <cp:lastPrinted>2026-04-15T08:33:42Z</cp:lastPrinted>
  <dcterms:created xsi:type="dcterms:W3CDTF">2026-04-14T12:13:11Z</dcterms:created>
  <dcterms:modified xsi:type="dcterms:W3CDTF">2026-04-15T08:35:35Z</dcterms:modified>
</cp:coreProperties>
</file>